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ata-ana\projects\Hospital-ER-Excel_project\"/>
    </mc:Choice>
  </mc:AlternateContent>
  <xr:revisionPtr revIDLastSave="0" documentId="13_ncr:1_{6BEA7CB5-F945-4854-9962-BBA775D41FE5}" xr6:coauthVersionLast="47" xr6:coauthVersionMax="47" xr10:uidLastSave="{00000000-0000-0000-0000-000000000000}"/>
  <bookViews>
    <workbookView xWindow="-108" yWindow="-108" windowWidth="23256" windowHeight="12456" xr2:uid="{7300F111-7012-4314-94C2-7931B9FACBBE}"/>
  </bookViews>
  <sheets>
    <sheet name="data1" sheetId="5" r:id="rId1"/>
    <sheet name="Data" sheetId="7" r:id="rId2"/>
    <sheet name="Sheet1" sheetId="1" r:id="rId3"/>
    <sheet name="Avg._Waiting_time" sheetId="4" r:id="rId4"/>
    <sheet name="Satisfactory_rate" sheetId="6" r:id="rId5"/>
    <sheet name="Monthly_Patient_visit" sheetId="3" r:id="rId6"/>
    <sheet name="Dashboard" sheetId="2" r:id="rId7"/>
  </sheets>
  <definedNames>
    <definedName name="ExternalData_1" localSheetId="1" hidden="1">Data!$A$3:$M$143</definedName>
    <definedName name="ExternalData_1" localSheetId="0" hidden="1">data1!$A$3:$M$46</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53ae782-d475-4d9d-a319-e4912bc31a52" name="Hospital Emergency Room Data" connection="Query - Hospital Emergency Room Data"/>
          <x15:modelTable id="Calender-table_6c19053f-1480-4d95-9517-7eb31050ca78" name="Calender-table" connection="Query - Calender-table"/>
        </x15:modelTables>
        <x15:modelRelationships>
          <x15:modelRelationship fromTable="Hospital Emergency Room Data" fromColumn="Patient Admission Date" toTable="Calender-table" toColumn="Date"/>
        </x15:modelRelationships>
        <x15:extLst>
          <ext xmlns:x16="http://schemas.microsoft.com/office/spreadsheetml/2014/11/main" uri="{9835A34E-60A6-4A7C-AAB8-D5F71C897F49}">
            <x16:modelTimeGroupings>
              <x16:modelTimeGrouping tableName="Calende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1" l="1"/>
  <c r="A24" i="1"/>
  <c r="B24" i="1"/>
  <c r="C24" i="1"/>
  <c r="B25" i="1"/>
  <c r="C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B81DB1-F4CE-425E-9D95-E7BCD321D5B8}" keepAlive="1" name="ModelConnection_ExternalData_1" description="Data Model" type="5" refreshedVersion="8" minRefreshableVersion="5" saveData="1">
    <dbPr connection="Data Model Connection" command="DRILLTHROUGH MAXROWS 1000 SELECT FROM [Model] WHERE (([Calender-table].[Date (Month)].&amp;[Jun],[Measures].[Average of Patient Waittime],[Calender-table].[Date (Day)].&amp;[1-Jun]))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5F40F96-451B-42CE-9E89-59F67AEF4E19}" keepAlive="1" name="ModelConnection_ExternalData_11" description="Data Model" type="5" refreshedVersion="8" minRefreshableVersion="5" saveData="1">
    <dbPr connection="Data Model Connection" command="DRILLTHROUGH MAXROWS 1000 SELECT FROM [Model] WHERE (([Calender-table].[Date (Month)].&amp;[Aug],[Measures].[Count of Age Group],[Hospital Emergency Room Data].[Age Group].&amp;[60-69]))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ED018DC9-8FC8-42A4-9969-CE818654BE22}" name="Query - Calender-table" description="Connection to the 'Calender-table' query in the workbook." type="100" refreshedVersion="8" minRefreshableVersion="5">
    <extLst>
      <ext xmlns:x15="http://schemas.microsoft.com/office/spreadsheetml/2010/11/main" uri="{DE250136-89BD-433C-8126-D09CA5730AF9}">
        <x15:connection id="e2237268-1660-4105-b6f9-5cd6507ffd51"/>
      </ext>
    </extLst>
  </connection>
  <connection id="4" xr16:uid="{9DD866D3-6676-4A7E-92B4-D332558B8C2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aab6318-2643-4c7c-be69-a9671c09e18b"/>
      </ext>
    </extLst>
  </connection>
  <connection id="5" xr16:uid="{C51EA5B6-E371-4BD9-B2A9-69DF11B05C6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<sst xmlns="http://schemas.openxmlformats.org/spreadsheetml/2006/main" count="1650" uniqueCount="464">
  <si>
    <t>Count of Patient Id</t>
  </si>
  <si>
    <t>Distinct Count of Patient Id</t>
  </si>
  <si>
    <t>No. of Patient</t>
  </si>
  <si>
    <t>Average of Patient Waittime</t>
  </si>
  <si>
    <t>Average of Patient Satisfaction Score</t>
  </si>
  <si>
    <t>Row Labels</t>
  </si>
  <si>
    <t>Grand Total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</si>
  <si>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</si>
  <si>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</si>
  <si>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</si>
  <si>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</si>
  <si>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</si>
  <si>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</si>
  <si>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</si>
  <si>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</si>
  <si>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</si>
  <si>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</si>
  <si>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</si>
  <si>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</si>
  <si>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</si>
  <si>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</si>
  <si>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</si>
  <si>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</si>
  <si>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</si>
  <si>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</si>
  <si>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</si>
  <si>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</si>
  <si>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</si>
  <si>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</si>
  <si>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</si>
  <si>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</si>
  <si>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</si>
  <si>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</si>
  <si>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</si>
  <si>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</si>
  <si>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</si>
  <si>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</si>
  <si>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</si>
  <si>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</si>
  <si>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</si>
  <si>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</si>
  <si>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</si>
  <si>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</si>
  <si>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</si>
  <si>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</si>
  <si>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</si>
  <si>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</si>
  <si>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</si>
  <si>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</si>
  <si>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</si>
  <si>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</si>
  <si>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456-57-3018</t>
  </si>
  <si>
    <t>B. Tousy</t>
  </si>
  <si>
    <t>Female</t>
  </si>
  <si>
    <t>White</t>
  </si>
  <si>
    <t>None</t>
  </si>
  <si>
    <t>Admitted</t>
  </si>
  <si>
    <t>20-29</t>
  </si>
  <si>
    <t>Delay</t>
  </si>
  <si>
    <t>735-55-8837</t>
  </si>
  <si>
    <t>C. Polet</t>
  </si>
  <si>
    <t>Male</t>
  </si>
  <si>
    <t>Not Admitted</t>
  </si>
  <si>
    <t>30-39</t>
  </si>
  <si>
    <t>383-43-2338</t>
  </si>
  <si>
    <t>H. Wylder</t>
  </si>
  <si>
    <t>African American</t>
  </si>
  <si>
    <t>838-74-6166</t>
  </si>
  <si>
    <t>X. Briance</t>
  </si>
  <si>
    <t>Ontime</t>
  </si>
  <si>
    <t>471-82-1748</t>
  </si>
  <si>
    <t>V. Cullrford</t>
  </si>
  <si>
    <t>Two or More Races</t>
  </si>
  <si>
    <t>10-19</t>
  </si>
  <si>
    <t>350-23-6043</t>
  </si>
  <si>
    <t>Y. Truss</t>
  </si>
  <si>
    <t>381-42-5162</t>
  </si>
  <si>
    <t>Q. Wones</t>
  </si>
  <si>
    <t>0-09</t>
  </si>
  <si>
    <t>470-74-4865</t>
  </si>
  <si>
    <t>T. Leyborne</t>
  </si>
  <si>
    <t>896-58-5072</t>
  </si>
  <si>
    <t>T. Neenan</t>
  </si>
  <si>
    <t>Asian</t>
  </si>
  <si>
    <t>70-79</t>
  </si>
  <si>
    <t>628-78-2242</t>
  </si>
  <si>
    <t>T. Fury</t>
  </si>
  <si>
    <t>290-17-4655</t>
  </si>
  <si>
    <t>Y. Whitington</t>
  </si>
  <si>
    <t>418-76-1742</t>
  </si>
  <si>
    <t>Y. Kock</t>
  </si>
  <si>
    <t>40-49</t>
  </si>
  <si>
    <t>619-25-0963</t>
  </si>
  <si>
    <t>N. Wolverson</t>
  </si>
  <si>
    <t>140-47-4325</t>
  </si>
  <si>
    <t>O. Sewell</t>
  </si>
  <si>
    <t>Declined to Identify</t>
  </si>
  <si>
    <t>455-80-8231</t>
  </si>
  <si>
    <t>N. Rzehorz</t>
  </si>
  <si>
    <t>193-70-0168</t>
  </si>
  <si>
    <t>F. Lenox</t>
  </si>
  <si>
    <t>50-59</t>
  </si>
  <si>
    <t>124-73-3676</t>
  </si>
  <si>
    <t>K. Bilofsky</t>
  </si>
  <si>
    <t>577-56-7589</t>
  </si>
  <si>
    <t>T. Utterson</t>
  </si>
  <si>
    <t>404-31-3488</t>
  </si>
  <si>
    <t>A. Scallon</t>
  </si>
  <si>
    <t>Pacific Islander</t>
  </si>
  <si>
    <t>60-69</t>
  </si>
  <si>
    <t>703-55-3364</t>
  </si>
  <si>
    <t>H. Hickeringill</t>
  </si>
  <si>
    <t>478-89-5652</t>
  </si>
  <si>
    <t>G. Delph</t>
  </si>
  <si>
    <t>Native American/Alaska Native</t>
  </si>
  <si>
    <t>165-78-8054</t>
  </si>
  <si>
    <t>D. Kleinhandler</t>
  </si>
  <si>
    <t>146-74-0413</t>
  </si>
  <si>
    <t>N. Weddeburn</t>
  </si>
  <si>
    <t>General Practice</t>
  </si>
  <si>
    <t>875-18-8746</t>
  </si>
  <si>
    <t>A. Renzini</t>
  </si>
  <si>
    <t>360-87-9898</t>
  </si>
  <si>
    <t>Q. Rycraft</t>
  </si>
  <si>
    <t>295-99-2730</t>
  </si>
  <si>
    <t>M. Ingolotti</t>
  </si>
  <si>
    <t>352-70-3795</t>
  </si>
  <si>
    <t>L. Ord</t>
  </si>
  <si>
    <t>312-76-3868</t>
  </si>
  <si>
    <t>Z. O'Doherty</t>
  </si>
  <si>
    <t>809-10-0879</t>
  </si>
  <si>
    <t>J. Duffy</t>
  </si>
  <si>
    <t>Orthopedics</t>
  </si>
  <si>
    <t>825-28-0932</t>
  </si>
  <si>
    <t>L. Escoffier</t>
  </si>
  <si>
    <t>139-06-1169</t>
  </si>
  <si>
    <t>P. Swann</t>
  </si>
  <si>
    <t>763-41-5675</t>
  </si>
  <si>
    <t>I. Yardy</t>
  </si>
  <si>
    <t>784-87-8463</t>
  </si>
  <si>
    <t>O. Knight</t>
  </si>
  <si>
    <t>Physiotherapy</t>
  </si>
  <si>
    <t>576-57-4936</t>
  </si>
  <si>
    <t>Q. Headingham</t>
  </si>
  <si>
    <t>Cardiology</t>
  </si>
  <si>
    <t>174-46-8097</t>
  </si>
  <si>
    <t>Q. Dickie</t>
  </si>
  <si>
    <t>Gastroenterology</t>
  </si>
  <si>
    <t>444-32-3923</t>
  </si>
  <si>
    <t>T. Lawie</t>
  </si>
  <si>
    <t>893-28-5273</t>
  </si>
  <si>
    <t>F. Metcalf</t>
  </si>
  <si>
    <t>Neurology</t>
  </si>
  <si>
    <t>439-09-4695</t>
  </si>
  <si>
    <t>T. Bastiman</t>
  </si>
  <si>
    <t>835-45-5469</t>
  </si>
  <si>
    <t>B. Jorat</t>
  </si>
  <si>
    <t>807-20-6718</t>
  </si>
  <si>
    <t>Q. Seleway</t>
  </si>
  <si>
    <t>353-90-2932</t>
  </si>
  <si>
    <t>P. Sangwin</t>
  </si>
  <si>
    <t>215-96-3099</t>
  </si>
  <si>
    <t>S. Millan</t>
  </si>
  <si>
    <t>156-04-1460</t>
  </si>
  <si>
    <t>V. Caress</t>
  </si>
  <si>
    <t>Data returned for Average of Patient Waittime, 1-Jun, Jun (First 1000 rows).</t>
  </si>
  <si>
    <t>Count of Patient Admission Flag</t>
  </si>
  <si>
    <t>Count of Patient Admission Flag2</t>
  </si>
  <si>
    <t>Admission Status</t>
  </si>
  <si>
    <t xml:space="preserve">Total in % </t>
  </si>
  <si>
    <t>Count of Age Group</t>
  </si>
  <si>
    <t>185-01-7702</t>
  </si>
  <si>
    <t>J. Foltin</t>
  </si>
  <si>
    <t>166-20-2794</t>
  </si>
  <si>
    <t>U. Percy</t>
  </si>
  <si>
    <t>382-29-0136</t>
  </si>
  <si>
    <t>U. Pacey</t>
  </si>
  <si>
    <t>481-42-7852</t>
  </si>
  <si>
    <t>M. Tibbles</t>
  </si>
  <si>
    <t>727-81-2340</t>
  </si>
  <si>
    <t>P. Capron</t>
  </si>
  <si>
    <t>244-51-1815</t>
  </si>
  <si>
    <t>Q. Wigg</t>
  </si>
  <si>
    <t>480-63-9268</t>
  </si>
  <si>
    <t>X. Muzzullo</t>
  </si>
  <si>
    <t>465-97-0990</t>
  </si>
  <si>
    <t>F. Perrat</t>
  </si>
  <si>
    <t>253-96-6379</t>
  </si>
  <si>
    <t>X. Aggus</t>
  </si>
  <si>
    <t>787-63-7727</t>
  </si>
  <si>
    <t>S. Brogi</t>
  </si>
  <si>
    <t>110-73-7294</t>
  </si>
  <si>
    <t>N. Handrahan</t>
  </si>
  <si>
    <t>712-65-0532</t>
  </si>
  <si>
    <t>Y. Emanuelov</t>
  </si>
  <si>
    <t>786-79-3778</t>
  </si>
  <si>
    <t>P. Medley</t>
  </si>
  <si>
    <t>850-70-6234</t>
  </si>
  <si>
    <t>P. Wray</t>
  </si>
  <si>
    <t>433-13-6881</t>
  </si>
  <si>
    <t>S. Gullane</t>
  </si>
  <si>
    <t>314-07-4648</t>
  </si>
  <si>
    <t>H. Cursey</t>
  </si>
  <si>
    <t>677-89-7468</t>
  </si>
  <si>
    <t>L. Guerra</t>
  </si>
  <si>
    <t>548-78-6274</t>
  </si>
  <si>
    <t>Z. Housegoe</t>
  </si>
  <si>
    <t>675-93-4085</t>
  </si>
  <si>
    <t>M. Edney</t>
  </si>
  <si>
    <t>489-02-8869</t>
  </si>
  <si>
    <t>M. Samme</t>
  </si>
  <si>
    <t>370-99-9209</t>
  </si>
  <si>
    <t>G. Tuckey</t>
  </si>
  <si>
    <t>277-10-3005</t>
  </si>
  <si>
    <t>C. Bartolomieu</t>
  </si>
  <si>
    <t>207-09-3254</t>
  </si>
  <si>
    <t>J. Chatel</t>
  </si>
  <si>
    <t>532-91-6458</t>
  </si>
  <si>
    <t>X. Slaight</t>
  </si>
  <si>
    <t>345-22-7048</t>
  </si>
  <si>
    <t>Z. Hilliam</t>
  </si>
  <si>
    <t>378-54-6356</t>
  </si>
  <si>
    <t>J. Piggen</t>
  </si>
  <si>
    <t>672-38-5049</t>
  </si>
  <si>
    <t>G. Ranger</t>
  </si>
  <si>
    <t>581-11-0547</t>
  </si>
  <si>
    <t>E. Gorries</t>
  </si>
  <si>
    <t>655-89-8382</t>
  </si>
  <si>
    <t>I. Kellett</t>
  </si>
  <si>
    <t>851-76-2999</t>
  </si>
  <si>
    <t>Z. Hammand</t>
  </si>
  <si>
    <t>409-90-4444</t>
  </si>
  <si>
    <t>Y. Eady</t>
  </si>
  <si>
    <t>276-67-3192</t>
  </si>
  <si>
    <t>B. Tilsley</t>
  </si>
  <si>
    <t>478-97-4429</t>
  </si>
  <si>
    <t>F. Dooland</t>
  </si>
  <si>
    <t>723-18-5369</t>
  </si>
  <si>
    <t>T. Vanyutin</t>
  </si>
  <si>
    <t>358-68-5495</t>
  </si>
  <si>
    <t>E. Mildmott</t>
  </si>
  <si>
    <t>858-67-1649</t>
  </si>
  <si>
    <t>F. Stansfield</t>
  </si>
  <si>
    <t>899-89-5599</t>
  </si>
  <si>
    <t>A. Caulwell</t>
  </si>
  <si>
    <t>736-88-1861</t>
  </si>
  <si>
    <t>F. Casperri</t>
  </si>
  <si>
    <t>245-14-4691</t>
  </si>
  <si>
    <t>J. De Michele</t>
  </si>
  <si>
    <t>824-26-8292</t>
  </si>
  <si>
    <t>X. O' Connell</t>
  </si>
  <si>
    <t>167-80-2652</t>
  </si>
  <si>
    <t>V. Risso</t>
  </si>
  <si>
    <t>570-81-1120</t>
  </si>
  <si>
    <t>M. Bwye</t>
  </si>
  <si>
    <t>609-54-3148</t>
  </si>
  <si>
    <t>E. Murfin</t>
  </si>
  <si>
    <t>411-64-9516</t>
  </si>
  <si>
    <t>I. Gehringer</t>
  </si>
  <si>
    <t>154-86-0769</t>
  </si>
  <si>
    <t>I. Colliford</t>
  </si>
  <si>
    <t>557-66-5745</t>
  </si>
  <si>
    <t>A. Christescu</t>
  </si>
  <si>
    <t>468-99-2447</t>
  </si>
  <si>
    <t>W. Galea</t>
  </si>
  <si>
    <t>429-56-5566</t>
  </si>
  <si>
    <t>Z. Groundwator</t>
  </si>
  <si>
    <t>657-55-2240</t>
  </si>
  <si>
    <t>B. Edelston</t>
  </si>
  <si>
    <t>667-75-1707</t>
  </si>
  <si>
    <t>Q. Dufour</t>
  </si>
  <si>
    <t>498-50-8434</t>
  </si>
  <si>
    <t>F. Abramov</t>
  </si>
  <si>
    <t>287-12-3149</t>
  </si>
  <si>
    <t>H. Lebarree</t>
  </si>
  <si>
    <t>757-84-7402</t>
  </si>
  <si>
    <t>K. Lidbetter</t>
  </si>
  <si>
    <t>728-54-6250</t>
  </si>
  <si>
    <t>W. Schimek</t>
  </si>
  <si>
    <t>783-72-7030</t>
  </si>
  <si>
    <t>U. Stiles</t>
  </si>
  <si>
    <t>165-93-7320</t>
  </si>
  <si>
    <t>Q. Girvan</t>
  </si>
  <si>
    <t>741-49-3943</t>
  </si>
  <si>
    <t>B. Jerrams</t>
  </si>
  <si>
    <t>337-61-9280</t>
  </si>
  <si>
    <t>J. Sneath</t>
  </si>
  <si>
    <t>721-59-3542</t>
  </si>
  <si>
    <t>Z. Busse</t>
  </si>
  <si>
    <t>526-22-4659</t>
  </si>
  <si>
    <t>J. Howitt</t>
  </si>
  <si>
    <t>334-28-4596</t>
  </si>
  <si>
    <t>E. Belchamp</t>
  </si>
  <si>
    <t>502-99-0067</t>
  </si>
  <si>
    <t>H. Healy</t>
  </si>
  <si>
    <t>794-71-6876</t>
  </si>
  <si>
    <t>J. McCaghan</t>
  </si>
  <si>
    <t>237-71-1040</t>
  </si>
  <si>
    <t>R. Skelcher</t>
  </si>
  <si>
    <t>148-76-1261</t>
  </si>
  <si>
    <t>T. Spurier</t>
  </si>
  <si>
    <t>317-63-5565</t>
  </si>
  <si>
    <t>Z. Berthelmot</t>
  </si>
  <si>
    <t>148-47-0490</t>
  </si>
  <si>
    <t>T. Friberg</t>
  </si>
  <si>
    <t>741-39-0715</t>
  </si>
  <si>
    <t>V. Wimpenny</t>
  </si>
  <si>
    <t>188-21-0592</t>
  </si>
  <si>
    <t>U. Shoveller</t>
  </si>
  <si>
    <t>111-47-3660</t>
  </si>
  <si>
    <t>U. Fasham</t>
  </si>
  <si>
    <t>539-86-9387</t>
  </si>
  <si>
    <t>M. Baudasso</t>
  </si>
  <si>
    <t>451-85-7804</t>
  </si>
  <si>
    <t>Y. Carrol</t>
  </si>
  <si>
    <t>678-76-6412</t>
  </si>
  <si>
    <t>R. Deetlefs</t>
  </si>
  <si>
    <t>461-42-4480</t>
  </si>
  <si>
    <t>T. Jimmes</t>
  </si>
  <si>
    <t>796-69-6311</t>
  </si>
  <si>
    <t>B. Heffer</t>
  </si>
  <si>
    <t>597-81-4011</t>
  </si>
  <si>
    <t>D. Lifsey</t>
  </si>
  <si>
    <t>639-46-1546</t>
  </si>
  <si>
    <t>Y. Capey</t>
  </si>
  <si>
    <t>818-38-5069</t>
  </si>
  <si>
    <t>S. Antonognoli</t>
  </si>
  <si>
    <t>193-65-5672</t>
  </si>
  <si>
    <t>Q. Clowes</t>
  </si>
  <si>
    <t>616-33-9502</t>
  </si>
  <si>
    <t>Q. McRoberts</t>
  </si>
  <si>
    <t>152-23-4004</t>
  </si>
  <si>
    <t>U. Radnage</t>
  </si>
  <si>
    <t>899-89-7946</t>
  </si>
  <si>
    <t>C. Bocke</t>
  </si>
  <si>
    <t>452-17-9747</t>
  </si>
  <si>
    <t>A. Locks</t>
  </si>
  <si>
    <t>801-29-3426</t>
  </si>
  <si>
    <t>T. Casey</t>
  </si>
  <si>
    <t>395-81-1270</t>
  </si>
  <si>
    <t>V. Kupke</t>
  </si>
  <si>
    <t>818-72-0858</t>
  </si>
  <si>
    <t>L. Mackilpatrick</t>
  </si>
  <si>
    <t>257-76-2460</t>
  </si>
  <si>
    <t>Z. Center</t>
  </si>
  <si>
    <t>331-62-8519</t>
  </si>
  <si>
    <t>C. Embra</t>
  </si>
  <si>
    <t>227-92-6315</t>
  </si>
  <si>
    <t>M. Guillain</t>
  </si>
  <si>
    <t>681-87-8647</t>
  </si>
  <si>
    <t>N. Edens</t>
  </si>
  <si>
    <t>153-26-1570</t>
  </si>
  <si>
    <t>Q. Mulvany</t>
  </si>
  <si>
    <t>263-15-6279</t>
  </si>
  <si>
    <t>B. Asplen</t>
  </si>
  <si>
    <t>750-10-6392</t>
  </si>
  <si>
    <t>W. Babin</t>
  </si>
  <si>
    <t>195-71-9241</t>
  </si>
  <si>
    <t>S. Parke</t>
  </si>
  <si>
    <t>490-05-6824</t>
  </si>
  <si>
    <t>O. Chasle</t>
  </si>
  <si>
    <t>143-12-4621</t>
  </si>
  <si>
    <t>V. Brindle</t>
  </si>
  <si>
    <t>690-03-4668</t>
  </si>
  <si>
    <t>T. Stonard</t>
  </si>
  <si>
    <t>368-31-2124</t>
  </si>
  <si>
    <t>I. Sealeaf</t>
  </si>
  <si>
    <t>560-19-5168</t>
  </si>
  <si>
    <t>L. Conew</t>
  </si>
  <si>
    <t>676-74-9268</t>
  </si>
  <si>
    <t>C. Aspinwall</t>
  </si>
  <si>
    <t>232-81-4919</t>
  </si>
  <si>
    <t>T. Simonich</t>
  </si>
  <si>
    <t>121-38-6162</t>
  </si>
  <si>
    <t>T. Andrusyak</t>
  </si>
  <si>
    <t>707-35-6910</t>
  </si>
  <si>
    <t>I. Kennler</t>
  </si>
  <si>
    <t>542-80-3587</t>
  </si>
  <si>
    <t>N. Hazley</t>
  </si>
  <si>
    <t>580-35-3681</t>
  </si>
  <si>
    <t>C. Maslin</t>
  </si>
  <si>
    <t>321-64-7625</t>
  </si>
  <si>
    <t>X. McLanachan</t>
  </si>
  <si>
    <t>806-40-9445</t>
  </si>
  <si>
    <t>X. Nias</t>
  </si>
  <si>
    <t>750-24-0580</t>
  </si>
  <si>
    <t>M. Macey</t>
  </si>
  <si>
    <t>568-58-7867</t>
  </si>
  <si>
    <t>H. McGilvary</t>
  </si>
  <si>
    <t>545-29-5086</t>
  </si>
  <si>
    <t>D. Duxbury</t>
  </si>
  <si>
    <t>193-39-9512</t>
  </si>
  <si>
    <t>I. Hiscocks</t>
  </si>
  <si>
    <t>255-92-8939</t>
  </si>
  <si>
    <t>V. Dy</t>
  </si>
  <si>
    <t>Renal</t>
  </si>
  <si>
    <t>251-26-5273</t>
  </si>
  <si>
    <t>K. Hefferon</t>
  </si>
  <si>
    <t>581-71-7643</t>
  </si>
  <si>
    <t>W. Baxill</t>
  </si>
  <si>
    <t>875-56-3403</t>
  </si>
  <si>
    <t>U. Hornbuckle</t>
  </si>
  <si>
    <t>802-14-1812</t>
  </si>
  <si>
    <t>J. Methven</t>
  </si>
  <si>
    <t>892-79-0205</t>
  </si>
  <si>
    <t>X. Muslim</t>
  </si>
  <si>
    <t>639-06-6643</t>
  </si>
  <si>
    <t>Q. Mostin</t>
  </si>
  <si>
    <t>674-10-3099</t>
  </si>
  <si>
    <t>V. Hoyt</t>
  </si>
  <si>
    <t>310-87-0319</t>
  </si>
  <si>
    <t>E. Abdee</t>
  </si>
  <si>
    <t>689-35-5574</t>
  </si>
  <si>
    <t>S. Flippini</t>
  </si>
  <si>
    <t>513-36-1037</t>
  </si>
  <si>
    <t>Z. Branchflower</t>
  </si>
  <si>
    <t>879-31-2414</t>
  </si>
  <si>
    <t>Y. Creaser</t>
  </si>
  <si>
    <t>821-49-1763</t>
  </si>
  <si>
    <t>V. Bullent</t>
  </si>
  <si>
    <t>446-49-0800</t>
  </si>
  <si>
    <t>D. Thomazin</t>
  </si>
  <si>
    <t>432-30-2709</t>
  </si>
  <si>
    <t>N. Darte</t>
  </si>
  <si>
    <t>184-24-9099</t>
  </si>
  <si>
    <t>D. Burkwood</t>
  </si>
  <si>
    <t>346-70-4846</t>
  </si>
  <si>
    <t>M. Paris</t>
  </si>
  <si>
    <t>681-56-5046</t>
  </si>
  <si>
    <t>Z. Gliddon</t>
  </si>
  <si>
    <t>543-99-4748</t>
  </si>
  <si>
    <t>R. Corradi</t>
  </si>
  <si>
    <t>677-05-5953</t>
  </si>
  <si>
    <t>U. Kimber</t>
  </si>
  <si>
    <t>584-74-6723</t>
  </si>
  <si>
    <t>X. Stockau</t>
  </si>
  <si>
    <t>762-44-7104</t>
  </si>
  <si>
    <t>C. Lerwill</t>
  </si>
  <si>
    <t>554-96-3589</t>
  </si>
  <si>
    <t>K. Willowby</t>
  </si>
  <si>
    <t>692-49-3211</t>
  </si>
  <si>
    <t>P. De Rye Barrett</t>
  </si>
  <si>
    <t>204-82-4893</t>
  </si>
  <si>
    <t>C. Hurn</t>
  </si>
  <si>
    <t>800-38-8561</t>
  </si>
  <si>
    <t>X. MacCombe</t>
  </si>
  <si>
    <t>563-03-8388</t>
  </si>
  <si>
    <t>D. Weyman</t>
  </si>
  <si>
    <t>340-55-3895</t>
  </si>
  <si>
    <t>Q. Chandlar</t>
  </si>
  <si>
    <t>569-39-0856</t>
  </si>
  <si>
    <t>K. Rontsch</t>
  </si>
  <si>
    <t>Data returned for Count of Age Group, 60-69, Aug (First 1000 rows).</t>
  </si>
  <si>
    <t>Count of Department Referral</t>
  </si>
  <si>
    <t>2023</t>
  </si>
  <si>
    <t>KPI's</t>
  </si>
  <si>
    <t>No. of Patient by Age Group</t>
  </si>
  <si>
    <t>Satisfactory Rate</t>
  </si>
  <si>
    <t>Avg. Wating Time</t>
  </si>
  <si>
    <t>Total Patient</t>
  </si>
  <si>
    <t>No. of Patient visited Ontime</t>
  </si>
  <si>
    <t>No. of patient By Department</t>
  </si>
  <si>
    <t>No. of patient by Gender</t>
  </si>
  <si>
    <t>% of patient Admitted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</si>
</sst>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4" fontId="0" fillId="0" borderId="0" xfId="0" applyNumberFormat="1"/>
    <xf numFmtId="21" fontId="0" fillId="0" borderId="0" xfId="0" applyNumberFormat="1"/>
    <xf numFmtId="0" fontId="2" fillId="0" borderId="0" xfId="0" applyFont="1"/>
    <xf numFmtId="10" fontId="0" fillId="0" borderId="0" xfId="0" applyNumberFormat="1"/>
    <xf numFmtId="10" fontId="0" fillId="0" borderId="0" xfId="1" applyNumberFormat="1" applyFont="1"/>
    <xf numFmtId="10" fontId="0" fillId="0" borderId="0" xfId="1" applyNumberFormat="1" applyFont="1" applyFill="1"/>
    <xf numFmtId="0" fontId="0" fillId="2" borderId="0" xfId="0" applyFill="1" applyAlignment="1">
      <alignment horizontal="left"/>
    </xf>
    <xf numFmtId="10" fontId="0" fillId="2" borderId="0" xfId="1" applyNumberFormat="1" applyFont="1" applyFill="1"/>
    <xf numFmtId="0" fontId="0" fillId="3" borderId="0" xfId="0" applyFill="1" applyAlignment="1">
      <alignment horizontal="left"/>
    </xf>
    <xf numFmtId="0" fontId="0" fillId="3" borderId="0" xfId="0" applyFill="1"/>
    <xf numFmtId="0" fontId="0" fillId="4" borderId="0" xfId="0" applyFill="1"/>
    <xf numFmtId="10" fontId="0" fillId="4" borderId="0" xfId="1" applyNumberFormat="1" applyFont="1" applyFill="1"/>
    <xf numFmtId="1" fontId="0" fillId="0" borderId="0" xfId="0" applyNumberFormat="1"/>
    <xf numFmtId="0" fontId="0" fillId="5" borderId="0" xfId="0" applyFill="1" applyAlignment="1">
      <alignment horizontal="center"/>
    </xf>
  </cellXfs>
  <cellStyles count="2">
    <cellStyle name="Normal" xfId="0" builtinId="0"/>
    <cellStyle name="Percent" xfId="1" builtinId="5"/>
  </cellStyles>
  <dxfs count="19">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64" formatCode="0.0000"/>
    </dxf>
    <dxf>
      <numFmt numFmtId="1" formatCode="0"/>
    </dxf>
    <dxf>
      <numFmt numFmtId="2" formatCode="0.00"/>
    </dxf>
    <dxf>
      <numFmt numFmtId="2" formatCode="0.00"/>
    </dxf>
    <dxf>
      <numFmt numFmtId="164" formatCode="0.0000"/>
    </dxf>
    <dxf>
      <numFmt numFmtId="26" formatCode="hh:mm:ss"/>
    </dxf>
    <dxf>
      <numFmt numFmtId="19" formatCode="dd/mm/yyyy"/>
    </dxf>
    <dxf>
      <numFmt numFmtId="26" formatCode="hh:mm:ss"/>
    </dxf>
    <dxf>
      <numFmt numFmtId="19" formatCode="dd/mm/yyyy"/>
    </dxf>
    <dxf>
      <fill>
        <patternFill patternType="solid">
          <bgColor theme="1" tint="0.24994659260841701"/>
        </patternFill>
      </fill>
    </dxf>
  </dxfs>
  <tableStyles count="1" defaultTableStyle="TableStyleMedium2" defaultPivotStyle="PivotStyleLight16">
    <tableStyle name="Slicer Style 1" pivot="0" table="0" count="8" xr9:uid="{4E619423-7CE4-40EA-9ECA-67624DD48B2A}">
      <tableStyleElement type="wholeTable" dxfId="18"/>
    </tableStyle>
  </tableStyles>
  <extLst>
    <ext xmlns:x14="http://schemas.microsoft.com/office/spreadsheetml/2009/9/main" uri="{46F421CA-312F-682f-3DD2-61675219B42D}">
      <x14:dxfs count="7">
        <dxf>
          <fill>
            <patternFill>
              <bgColor theme="9" tint="-0.24994659260841701"/>
            </patternFill>
          </fill>
        </dxf>
        <dxf>
          <fill>
            <patternFill>
              <bgColor theme="8" tint="0.39994506668294322"/>
            </patternFill>
          </fill>
        </dxf>
        <dxf>
          <fill>
            <patternFill>
              <bgColor theme="5" tint="-0.24994659260841701"/>
            </patternFill>
          </fill>
        </dxf>
        <dxf>
          <fill>
            <patternFill>
              <bgColor rgb="FFFF0000"/>
            </patternFill>
          </fill>
        </dxf>
        <dxf>
          <fill>
            <patternFill>
              <bgColor rgb="FFFFC000"/>
            </patternFill>
          </fill>
        </dxf>
        <dxf>
          <fill>
            <patternFill>
              <bgColor theme="6" tint="0.7999816888943144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dLbl>
          <c:idx val="0"/>
          <c:layout>
            <c:manualLayout>
              <c:x val="0.55324415093274626"/>
              <c:y val="8.6206896551724144E-2"/>
            </c:manualLayout>
          </c:layout>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97132616487455"/>
                  <c:h val="0.34439768304823964"/>
                </c:manualLayout>
              </c15:layout>
            </c:ext>
          </c:extLst>
        </c:dLbl>
      </c:pivotFmt>
      <c:pivotFmt>
        <c:idx val="5"/>
        <c:spPr>
          <a:solidFill>
            <a:schemeClr val="accent1"/>
          </a:solidFill>
          <a:ln>
            <a:noFill/>
          </a:ln>
          <a:effectLst/>
        </c:spPr>
        <c:dLbl>
          <c:idx val="0"/>
          <c:layout>
            <c:manualLayout>
              <c:x val="0.55555555555555547"/>
              <c:y val="5.7471264367816091E-2"/>
            </c:manualLayout>
          </c:layout>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5017921146953"/>
                  <c:h val="0.43060457959996379"/>
                </c:manualLayout>
              </c15:layout>
            </c:ext>
          </c:extLst>
        </c:dLbl>
      </c:pivotFmt>
    </c:pivotFmts>
    <c:plotArea>
      <c:layout>
        <c:manualLayout>
          <c:layoutTarget val="inner"/>
          <c:xMode val="edge"/>
          <c:yMode val="edge"/>
          <c:x val="0.12208163150729151"/>
          <c:y val="0.1598832473527016"/>
          <c:w val="0.82513368983957214"/>
          <c:h val="0.7595628415300546"/>
        </c:manualLayout>
      </c:layout>
      <c:barChart>
        <c:barDir val="bar"/>
        <c:grouping val="clustered"/>
        <c:varyColors val="0"/>
        <c:ser>
          <c:idx val="0"/>
          <c:order val="0"/>
          <c:tx>
            <c:strRef>
              <c:f>Sheet1!$B$17</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Sheet1!$A$18:$A$20</c:f>
              <c:strCache>
                <c:ptCount val="2"/>
                <c:pt idx="0">
                  <c:v>Admitted</c:v>
                </c:pt>
                <c:pt idx="1">
                  <c:v>Not Admitted</c:v>
                </c:pt>
              </c:strCache>
            </c:strRef>
          </c:cat>
          <c:val>
            <c:numRef>
              <c:f>Sheet1!$B$18:$B$20</c:f>
              <c:numCache>
                <c:formatCode>0.00</c:formatCode>
                <c:ptCount val="2"/>
                <c:pt idx="0">
                  <c:v>236</c:v>
                </c:pt>
                <c:pt idx="1">
                  <c:v>228</c:v>
                </c:pt>
              </c:numCache>
            </c:numRef>
          </c:val>
          <c:extLst>
            <c:ext xmlns:c16="http://schemas.microsoft.com/office/drawing/2014/chart" uri="{C3380CC4-5D6E-409C-BE32-E72D297353CC}">
              <c16:uniqueId val="{00000007-C86D-4706-8EF9-37E3DA7B0C82}"/>
            </c:ext>
          </c:extLst>
        </c:ser>
        <c:ser>
          <c:idx val="1"/>
          <c:order val="1"/>
          <c:tx>
            <c:strRef>
              <c:f>Sheet1!$C$17</c:f>
              <c:strCache>
                <c:ptCount val="1"/>
                <c:pt idx="0">
                  <c:v>Count of Patient Admission Flag2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A-C86D-4706-8EF9-37E3DA7B0C82}"/>
              </c:ext>
            </c:extLst>
          </c:dPt>
          <c:dPt>
            <c:idx val="1"/>
            <c:invertIfNegative val="0"/>
            <c:bubble3D val="0"/>
            <c:extLst>
              <c:ext xmlns:c16="http://schemas.microsoft.com/office/drawing/2014/chart" uri="{C3380CC4-5D6E-409C-BE32-E72D297353CC}">
                <c16:uniqueId val="{00000009-C86D-4706-8EF9-37E3DA7B0C82}"/>
              </c:ext>
            </c:extLst>
          </c:dPt>
          <c:dLbls>
            <c:dLbl>
              <c:idx val="0"/>
              <c:layout>
                <c:manualLayout>
                  <c:x val="0.55555555555555547"/>
                  <c:y val="5.7471264367816091E-2"/>
                </c:manualLayout>
              </c:layout>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5017921146953"/>
                      <c:h val="0.43060457959996379"/>
                    </c:manualLayout>
                  </c15:layout>
                </c:ext>
                <c:ext xmlns:c16="http://schemas.microsoft.com/office/drawing/2014/chart" uri="{C3380CC4-5D6E-409C-BE32-E72D297353CC}">
                  <c16:uniqueId val="{0000000A-C86D-4706-8EF9-37E3DA7B0C82}"/>
                </c:ext>
              </c:extLst>
            </c:dLbl>
            <c:dLbl>
              <c:idx val="1"/>
              <c:layout>
                <c:manualLayout>
                  <c:x val="0.55324415093274626"/>
                  <c:y val="8.6206896551724144E-2"/>
                </c:manualLayout>
              </c:layout>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97132616487455"/>
                      <c:h val="0.34439768304823964"/>
                    </c:manualLayout>
                  </c15:layout>
                </c:ext>
                <c:ext xmlns:c16="http://schemas.microsoft.com/office/drawing/2014/chart" uri="{C3380CC4-5D6E-409C-BE32-E72D297353CC}">
                  <c16:uniqueId val="{00000009-C86D-4706-8EF9-37E3DA7B0C82}"/>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Sheet1!$A$18:$A$20</c:f>
              <c:strCache>
                <c:ptCount val="2"/>
                <c:pt idx="0">
                  <c:v>Admitted</c:v>
                </c:pt>
                <c:pt idx="1">
                  <c:v>Not Admitted</c:v>
                </c:pt>
              </c:strCache>
            </c:strRef>
          </c:cat>
          <c:val>
            <c:numRef>
              <c:f>Sheet1!$C$18:$C$20</c:f>
              <c:numCache>
                <c:formatCode>0.00%</c:formatCode>
                <c:ptCount val="2"/>
                <c:pt idx="0">
                  <c:v>0.50862068965517238</c:v>
                </c:pt>
                <c:pt idx="1">
                  <c:v>0.49137931034482757</c:v>
                </c:pt>
              </c:numCache>
            </c:numRef>
          </c:val>
          <c:extLst>
            <c:ext xmlns:c16="http://schemas.microsoft.com/office/drawing/2014/chart" uri="{C3380CC4-5D6E-409C-BE32-E72D297353CC}">
              <c16:uniqueId val="{00000008-C86D-4706-8EF9-37E3DA7B0C82}"/>
            </c:ext>
          </c:extLst>
        </c:ser>
        <c:dLbls>
          <c:dLblPos val="outEnd"/>
          <c:showLegendKey val="0"/>
          <c:showVal val="1"/>
          <c:showCatName val="0"/>
          <c:showSerName val="0"/>
          <c:showPercent val="0"/>
          <c:showBubbleSize val="0"/>
        </c:dLbls>
        <c:gapWidth val="182"/>
        <c:axId val="453251168"/>
        <c:axId val="453252128"/>
      </c:barChart>
      <c:catAx>
        <c:axId val="453251168"/>
        <c:scaling>
          <c:orientation val="minMax"/>
        </c:scaling>
        <c:delete val="1"/>
        <c:axPos val="l"/>
        <c:numFmt formatCode="General" sourceLinked="1"/>
        <c:majorTickMark val="none"/>
        <c:minorTickMark val="none"/>
        <c:tickLblPos val="nextTo"/>
        <c:crossAx val="453252128"/>
        <c:crosses val="autoZero"/>
        <c:auto val="1"/>
        <c:lblAlgn val="ctr"/>
        <c:lblOffset val="100"/>
        <c:noMultiLvlLbl val="0"/>
      </c:catAx>
      <c:valAx>
        <c:axId val="453252128"/>
        <c:scaling>
          <c:orientation val="minMax"/>
        </c:scaling>
        <c:delete val="1"/>
        <c:axPos val="b"/>
        <c:numFmt formatCode="0.00" sourceLinked="1"/>
        <c:majorTickMark val="none"/>
        <c:minorTickMark val="none"/>
        <c:tickLblPos val="nextTo"/>
        <c:crossAx val="45325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[Hospital-Excel_project.xlsx]Sheet1!PivotTable5</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r>
              <a:rPr lang="en-US" baseline="0"/>
              <a:t> Waiting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Sheet1!$M$5</c:f>
              <c:strCache>
                <c:ptCount val="1"/>
                <c:pt idx="0">
                  <c:v>Total</c:v>
                </c:pt>
              </c:strCache>
            </c:strRef>
          </c:tx>
          <c:spPr>
            <a:solidFill>
              <a:schemeClr val="tx2">
                <a:lumMod val="50000"/>
                <a:lumOff val="50000"/>
              </a:schemeClr>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Sheet1!$L$6:$L$37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Sheet1!$M$6:$M$37</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6-DEF1-4C3A-8EC3-C863FF7AE59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3516560"/>
        <c:axId val="333506480"/>
      </c:areaChart>
      <c:catAx>
        <c:axId val="3335165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3506480"/>
        <c:crosses val="autoZero"/>
        <c:auto val="1"/>
        <c:lblAlgn val="ctr"/>
        <c:lblOffset val="100"/>
        <c:noMultiLvlLbl val="0"/>
      </c:catAx>
      <c:valAx>
        <c:axId val="333506480"/>
        <c:scaling>
          <c:orientation val="minMax"/>
        </c:scaling>
        <c:delete val="1"/>
        <c:axPos val="l"/>
        <c:numFmt formatCode="0.00" sourceLinked="1"/>
        <c:majorTickMark val="out"/>
        <c:minorTickMark val="none"/>
        <c:tickLblPos val="nextTo"/>
        <c:crossAx val="333516560"/>
        <c:crosses val="autoZero"/>
        <c:crossBetween val="midCat"/>
      </c:valAx>
      <c:spPr>
        <a:solidFill>
          <a:schemeClr val="tx1">
            <a:lumMod val="65000"/>
            <a:lumOff val="35000"/>
          </a:schemeClr>
        </a:solidFill>
        <a:ln>
          <a:noFill/>
        </a:ln>
        <a:effectLst/>
      </c:spPr>
    </c:plotArea>
    <c:plotVisOnly val="1"/>
    <c:dispBlanksAs val="zero"/>
    <c:showDLblsOverMax val="0"/>
    <c:extLst/>
  </c:chart>
  <c:spPr>
    <a:solidFill>
      <a:schemeClr val="tx1">
        <a:lumMod val="65000"/>
        <a:lumOff val="3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[Hospital-Excel_project.xlsx]Sheet1!PivotTable6</c:name>
    <c:fmtId val="2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Satisfactory Rate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Sheet1!$P$5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Sheet1!$O$6:$O$37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Sheet1!$P$6:$P$37</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2-248C-4959-BFA2-853C5F5CAEC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7580623"/>
        <c:axId val="599783375"/>
      </c:areaChart>
      <c:catAx>
        <c:axId val="15675806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9783375"/>
        <c:crosses val="autoZero"/>
        <c:auto val="1"/>
        <c:lblAlgn val="ctr"/>
        <c:lblOffset val="100"/>
        <c:noMultiLvlLbl val="0"/>
      </c:catAx>
      <c:valAx>
        <c:axId val="599783375"/>
        <c:scaling>
          <c:orientation val="minMax"/>
        </c:scaling>
        <c:delete val="1"/>
        <c:axPos val="l"/>
        <c:numFmt formatCode="0.00" sourceLinked="1"/>
        <c:majorTickMark val="out"/>
        <c:minorTickMark val="none"/>
        <c:tickLblPos val="nextTo"/>
        <c:crossAx val="15675806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[Hospital-Excel_project.xlsx]Sheet1!PivotTable4</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Patient Visit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Sheet1!$H$6:$H$37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Sheet1!$I$6:$I$37</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2-8130-4A31-814A-BE6B56632A2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3516560"/>
        <c:axId val="333506480"/>
      </c:areaChart>
      <c:catAx>
        <c:axId val="3335165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3506480"/>
        <c:crosses val="autoZero"/>
        <c:auto val="1"/>
        <c:lblAlgn val="ctr"/>
        <c:lblOffset val="100"/>
        <c:noMultiLvlLbl val="0"/>
      </c:catAx>
      <c:valAx>
        <c:axId val="333506480"/>
        <c:scaling>
          <c:orientation val="minMax"/>
        </c:scaling>
        <c:delete val="1"/>
        <c:axPos val="l"/>
        <c:numFmt formatCode="General" sourceLinked="1"/>
        <c:majorTickMark val="out"/>
        <c:minorTickMark val="none"/>
        <c:tickLblPos val="nextTo"/>
        <c:crossAx val="333516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63344443737573E-2"/>
          <c:y val="8.9536307961504802E-2"/>
          <c:w val="0.8848482701028122"/>
          <c:h val="0.71413123359580055"/>
        </c:manualLayout>
      </c:layout>
      <c:areaChart>
        <c:grouping val="standard"/>
        <c:varyColors val="0"/>
        <c:ser>
          <c:idx val="0"/>
          <c:order val="0"/>
          <c:tx>
            <c:strRef>
              <c:f>Sheet1!$I$5</c:f>
              <c:strCache>
                <c:ptCount val="1"/>
                <c:pt idx="0">
                  <c:v>Total</c:v>
                </c:pt>
              </c:strCache>
            </c:strRef>
          </c:tx>
          <c:spPr>
            <a:solidFill>
              <a:schemeClr val="accent1"/>
            </a:solidFill>
            <a:ln w="25400">
              <a:noFill/>
            </a:ln>
            <a:effectLst/>
          </c:spPr>
          <c:cat>
            <c:strRef>
              <c:f>Sheet1!$H$6:$H$37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Sheet1!$I$6:$I$37</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3-55C9-4C37-ACC1-9B0F69885CDA}"/>
            </c:ext>
          </c:extLst>
        </c:ser>
        <c:dLbls>
          <c:showLegendKey val="0"/>
          <c:showVal val="0"/>
          <c:showCatName val="0"/>
          <c:showSerName val="0"/>
          <c:showPercent val="0"/>
          <c:showBubbleSize val="0"/>
        </c:dLbls>
        <c:axId val="333516560"/>
        <c:axId val="333506480"/>
      </c:areaChart>
      <c:catAx>
        <c:axId val="333516560"/>
        <c:scaling>
          <c:orientation val="minMax"/>
        </c:scaling>
        <c:delete val="1"/>
        <c:axPos val="b"/>
        <c:numFmt formatCode="General" sourceLinked="1"/>
        <c:majorTickMark val="out"/>
        <c:minorTickMark val="none"/>
        <c:tickLblPos val="nextTo"/>
        <c:crossAx val="333506480"/>
        <c:crosses val="autoZero"/>
        <c:auto val="1"/>
        <c:lblAlgn val="ctr"/>
        <c:lblOffset val="100"/>
        <c:noMultiLvlLbl val="0"/>
      </c:catAx>
      <c:valAx>
        <c:axId val="333506480"/>
        <c:scaling>
          <c:orientation val="minMax"/>
        </c:scaling>
        <c:delete val="1"/>
        <c:axPos val="l"/>
        <c:numFmt formatCode="General" sourceLinked="1"/>
        <c:majorTickMark val="none"/>
        <c:minorTickMark val="none"/>
        <c:tickLblPos val="nextTo"/>
        <c:crossAx val="333516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91228070175433E-2"/>
          <c:y val="0.15602836879432624"/>
          <c:w val="0.80701754385964908"/>
          <c:h val="0.68794326241134751"/>
        </c:manualLayout>
      </c:layout>
      <c:areaChart>
        <c:grouping val="standard"/>
        <c:varyColors val="0"/>
        <c:ser>
          <c:idx val="0"/>
          <c:order val="0"/>
          <c:tx>
            <c:strRef>
              <c:f>Sheet1!$M$5</c:f>
              <c:strCache>
                <c:ptCount val="1"/>
                <c:pt idx="0">
                  <c:v>Total</c:v>
                </c:pt>
              </c:strCache>
            </c:strRef>
          </c:tx>
          <c:spPr>
            <a:solidFill>
              <a:schemeClr val="accent1"/>
            </a:solidFill>
            <a:ln w="25400">
              <a:noFill/>
            </a:ln>
            <a:effectLst/>
          </c:spPr>
          <c:cat>
            <c:strRef>
              <c:f>Sheet1!$L$6:$L$37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Sheet1!$M$6:$M$37</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3-23DD-4EDF-B579-B6F85CD4306E}"/>
            </c:ext>
          </c:extLst>
        </c:ser>
        <c:dLbls>
          <c:showLegendKey val="0"/>
          <c:showVal val="0"/>
          <c:showCatName val="0"/>
          <c:showSerName val="0"/>
          <c:showPercent val="0"/>
          <c:showBubbleSize val="0"/>
        </c:dLbls>
        <c:axId val="246306032"/>
        <c:axId val="353349952"/>
      </c:areaChart>
      <c:catAx>
        <c:axId val="246306032"/>
        <c:scaling>
          <c:orientation val="minMax"/>
        </c:scaling>
        <c:delete val="1"/>
        <c:axPos val="b"/>
        <c:numFmt formatCode="General" sourceLinked="1"/>
        <c:majorTickMark val="out"/>
        <c:minorTickMark val="none"/>
        <c:tickLblPos val="nextTo"/>
        <c:crossAx val="353349952"/>
        <c:crosses val="autoZero"/>
        <c:auto val="1"/>
        <c:lblAlgn val="ctr"/>
        <c:lblOffset val="100"/>
        <c:noMultiLvlLbl val="0"/>
      </c:catAx>
      <c:valAx>
        <c:axId val="353349952"/>
        <c:scaling>
          <c:orientation val="minMax"/>
        </c:scaling>
        <c:delete val="1"/>
        <c:axPos val="l"/>
        <c:numFmt formatCode="0.00" sourceLinked="1"/>
        <c:majorTickMark val="none"/>
        <c:minorTickMark val="none"/>
        <c:tickLblPos val="nextTo"/>
        <c:crossAx val="2463060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8684054420635"/>
          <c:y val="0.24800005207350176"/>
          <c:w val="0.77602631891158735"/>
          <c:h val="0.54533323786524679"/>
        </c:manualLayout>
      </c:layout>
      <c:areaChart>
        <c:grouping val="standard"/>
        <c:varyColors val="0"/>
        <c:ser>
          <c:idx val="0"/>
          <c:order val="0"/>
          <c:tx>
            <c:strRef>
              <c:f>Sheet1!$P$5</c:f>
              <c:strCache>
                <c:ptCount val="1"/>
                <c:pt idx="0">
                  <c:v>Total</c:v>
                </c:pt>
              </c:strCache>
            </c:strRef>
          </c:tx>
          <c:spPr>
            <a:solidFill>
              <a:schemeClr val="accent1"/>
            </a:solidFill>
            <a:ln w="25400">
              <a:noFill/>
            </a:ln>
            <a:effectLst/>
          </c:spPr>
          <c:cat>
            <c:strRef>
              <c:f>Sheet1!$O$6:$O$37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Sheet1!$P$6:$P$37</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3-D8FA-4238-A4FA-069579FF62CD}"/>
            </c:ext>
          </c:extLst>
        </c:ser>
        <c:dLbls>
          <c:showLegendKey val="0"/>
          <c:showVal val="0"/>
          <c:showCatName val="0"/>
          <c:showSerName val="0"/>
          <c:showPercent val="0"/>
          <c:showBubbleSize val="0"/>
        </c:dLbls>
        <c:axId val="1567580623"/>
        <c:axId val="599783375"/>
      </c:areaChart>
      <c:catAx>
        <c:axId val="1567580623"/>
        <c:scaling>
          <c:orientation val="minMax"/>
        </c:scaling>
        <c:delete val="1"/>
        <c:axPos val="b"/>
        <c:numFmt formatCode="General" sourceLinked="1"/>
        <c:majorTickMark val="out"/>
        <c:minorTickMark val="none"/>
        <c:tickLblPos val="nextTo"/>
        <c:crossAx val="599783375"/>
        <c:crosses val="autoZero"/>
        <c:auto val="1"/>
        <c:lblAlgn val="ctr"/>
        <c:lblOffset val="100"/>
        <c:noMultiLvlLbl val="0"/>
      </c:catAx>
      <c:valAx>
        <c:axId val="599783375"/>
        <c:scaling>
          <c:orientation val="minMax"/>
        </c:scaling>
        <c:delete val="1"/>
        <c:axPos val="l"/>
        <c:numFmt formatCode="0.00" sourceLinked="1"/>
        <c:majorTickMark val="none"/>
        <c:minorTickMark val="none"/>
        <c:tickLblPos val="nextTo"/>
        <c:crossAx val="15675806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85769370381281E-2"/>
          <c:y val="8.9693354024226832E-2"/>
          <c:w val="0.91463074194056526"/>
          <c:h val="0.72114933333504549"/>
        </c:manualLayout>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Sheet1!$E$6:$E$14</c:f>
              <c:strCache>
                <c:ptCount val="8"/>
                <c:pt idx="0">
                  <c:v>0-09</c:v>
                </c:pt>
                <c:pt idx="1">
                  <c:v>10-19</c:v>
                </c:pt>
                <c:pt idx="2">
                  <c:v>20-29</c:v>
                </c:pt>
                <c:pt idx="3">
                  <c:v>30-39</c:v>
                </c:pt>
                <c:pt idx="4">
                  <c:v>40-49</c:v>
                </c:pt>
                <c:pt idx="5">
                  <c:v>50-59</c:v>
                </c:pt>
                <c:pt idx="6">
                  <c:v>60-69</c:v>
                </c:pt>
                <c:pt idx="7">
                  <c:v>70-79</c:v>
                </c:pt>
              </c:strCache>
            </c:strRef>
          </c:cat>
          <c:val>
            <c:numRef>
              <c:f>Sheet1!$F$6:$F$14</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3-11FE-4F08-9FB9-A2EAC9878815}"/>
            </c:ext>
          </c:extLst>
        </c:ser>
        <c:dLbls>
          <c:dLblPos val="outEnd"/>
          <c:showLegendKey val="0"/>
          <c:showVal val="1"/>
          <c:showCatName val="0"/>
          <c:showSerName val="0"/>
          <c:showPercent val="0"/>
          <c:showBubbleSize val="0"/>
        </c:dLbls>
        <c:gapWidth val="219"/>
        <c:overlap val="-27"/>
        <c:axId val="272655456"/>
        <c:axId val="272659776"/>
      </c:barChart>
      <c:catAx>
        <c:axId val="2726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lumMod val="10000"/>
                    <a:lumOff val="90000"/>
                  </a:schemeClr>
                </a:solidFill>
                <a:latin typeface="+mn-lt"/>
                <a:ea typeface="+mn-ea"/>
                <a:cs typeface="+mn-cs"/>
              </a:defRPr>
            </a:pPr>
            <a:endParaRPr lang="en-US"/>
          </a:p>
        </c:txPr>
        <c:crossAx val="272659776"/>
        <c:crosses val="autoZero"/>
        <c:auto val="1"/>
        <c:lblAlgn val="ctr"/>
        <c:lblOffset val="100"/>
        <c:noMultiLvlLbl val="0"/>
      </c:catAx>
      <c:valAx>
        <c:axId val="272659776"/>
        <c:scaling>
          <c:orientation val="minMax"/>
        </c:scaling>
        <c:delete val="1"/>
        <c:axPos val="l"/>
        <c:numFmt formatCode="0" sourceLinked="1"/>
        <c:majorTickMark val="none"/>
        <c:minorTickMark val="none"/>
        <c:tickLblPos val="nextTo"/>
        <c:crossAx val="27265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[Hospital-Excel_project.xlsx]Sheet1!PivotTable9</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31694549826296"/>
          <c:y val="0.14533837672892602"/>
          <c:w val="0.63403287836556754"/>
          <c:h val="0.66978605945260439"/>
        </c:manualLayout>
      </c:layout>
      <c:pieChart>
        <c:varyColors val="1"/>
        <c:ser>
          <c:idx val="0"/>
          <c:order val="0"/>
          <c:tx>
            <c:strRef>
              <c:f>Sheet1!$F$31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E8-438C-B0C6-9AEC6C7A10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E8-438C-B0C6-9AEC6C7A10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Sheet1!$E$32:$E$34</c:f>
              <c:strCache>
                <c:ptCount val="2"/>
                <c:pt idx="0">
                  <c:v>Delay</c:v>
                </c:pt>
                <c:pt idx="1">
                  <c:v>Ontime</c:v>
                </c:pt>
              </c:strCache>
            </c:strRef>
          </c:cat>
          <c:val>
            <c:numRef>
              <c:f>Sheet1!$F$32:$F$34</c:f>
              <c:numCache>
                <c:formatCode>0</c:formatCode>
                <c:ptCount val="2"/>
                <c:pt idx="0">
                  <c:v>267</c:v>
                </c:pt>
                <c:pt idx="1">
                  <c:v>197</c:v>
                </c:pt>
              </c:numCache>
            </c:numRef>
          </c:val>
          <c:extLst>
            <c:ext xmlns:c16="http://schemas.microsoft.com/office/drawing/2014/chart" uri="{C3380CC4-5D6E-409C-BE32-E72D297353CC}">
              <c16:uniqueId val="{00000007-A345-4D3B-B015-5AA79237878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296567791432537"/>
          <c:y val="5.0476779519066589E-3"/>
          <c:w val="0.79797763363097629"/>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[Hospital-Excel_project.xlsx]Sheet1!PivotTable10</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16235034687974281"/>
          <c:y val="0.20519082555256105"/>
          <c:w val="0.7074878866073534"/>
          <c:h val="0.66667146510512965"/>
        </c:manualLayout>
      </c:layout>
      <c:doughnutChart>
        <c:varyColors val="1"/>
        <c:ser>
          <c:idx val="0"/>
          <c:order val="0"/>
          <c:tx>
            <c:strRef>
              <c:f>Sheet1!$B$29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BE4-4949-91AA-92D55BC259C2}"/>
              </c:ext>
            </c:extLst>
          </c:dPt>
          <c:dPt>
            <c:idx val="1"/>
            <c:bubble3D val="0"/>
            <c:spPr>
              <a:solidFill>
                <a:schemeClr val="accent2"/>
              </a:solidFill>
              <a:ln w="19050">
                <a:noFill/>
              </a:ln>
              <a:effectLst/>
            </c:spPr>
            <c:extLst>
              <c:ext xmlns:c16="http://schemas.microsoft.com/office/drawing/2014/chart" uri="{C3380CC4-5D6E-409C-BE32-E72D297353CC}">
                <c16:uniqueId val="{00000003-ABE4-4949-91AA-92D55BC259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Sheet1!$A$30:$A$32</c:f>
              <c:strCache>
                <c:ptCount val="2"/>
                <c:pt idx="0">
                  <c:v>Female</c:v>
                </c:pt>
                <c:pt idx="1">
                  <c:v>Male</c:v>
                </c:pt>
              </c:strCache>
            </c:strRef>
          </c:cat>
          <c:val>
            <c:numRef>
              <c:f>Sheet1!$B$30:$B$32</c:f>
              <c:numCache>
                <c:formatCode>0</c:formatCode>
                <c:ptCount val="2"/>
                <c:pt idx="0">
                  <c:v>228</c:v>
                </c:pt>
                <c:pt idx="1">
                  <c:v>236</c:v>
                </c:pt>
              </c:numCache>
            </c:numRef>
          </c:val>
          <c:extLst>
            <c:ext xmlns:c16="http://schemas.microsoft.com/office/drawing/2014/chart" uri="{C3380CC4-5D6E-409C-BE32-E72D297353CC}">
              <c16:uniqueId val="{00000007-B988-4334-A3BB-549028AC3ED0}"/>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r"/>
      <c:layout>
        <c:manualLayout>
          <c:xMode val="edge"/>
          <c:yMode val="edge"/>
          <c:x val="2.32590422864506E-2"/>
          <c:y val="4.3920733134636264E-2"/>
          <c:w val="0.93456410052040262"/>
          <c:h val="0.16382365319865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[Hospital-Excel_project.xlsx]Sheet1!PivotTable11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66152690158262"/>
          <c:y val="6.2571103526734922E-2"/>
          <c:w val="0.70189049430451411"/>
          <c:h val="0.8748577929465301"/>
        </c:manualLayout>
      </c:layout>
      <c:barChart>
        <c:barDir val="bar"/>
        <c:grouping val="clustered"/>
        <c:varyColors val="0"/>
        <c:ser>
          <c:idx val="0"/>
          <c:order val="0"/>
          <c:tx>
            <c:strRef>
              <c:f>Sheet1!$B$37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Sheet1!$A$38:$A$46</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Sheet1!$B$38:$B$46</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3-D071-4C6A-A71C-A8972546DFC6}"/>
            </c:ext>
          </c:extLst>
        </c:ser>
        <c:dLbls>
          <c:dLblPos val="outEnd"/>
          <c:showLegendKey val="0"/>
          <c:showVal val="1"/>
          <c:showCatName val="0"/>
          <c:showSerName val="0"/>
          <c:showPercent val="0"/>
          <c:showBubbleSize val="0"/>
        </c:dLbls>
        <c:gapWidth val="182"/>
        <c:axId val="1634748159"/>
        <c:axId val="1634754399"/>
      </c:barChart>
      <c:catAx>
        <c:axId val="163474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634754399"/>
        <c:crosses val="autoZero"/>
        <c:auto val="1"/>
        <c:lblAlgn val="ctr"/>
        <c:lblOffset val="100"/>
        <c:noMultiLvlLbl val="0"/>
      </c:catAx>
      <c:valAx>
        <c:axId val="1634754399"/>
        <c:scaling>
          <c:orientation val="minMax"/>
        </c:scaling>
        <c:delete val="1"/>
        <c:axPos val="b"/>
        <c:numFmt formatCode="0" sourceLinked="1"/>
        <c:majorTickMark val="none"/>
        <c:minorTickMark val="none"/>
        <c:tickLblPos val="nextTo"/>
        <c:crossAx val="163474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4.xml"/><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9.emf"/><Relationship Id="rId1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hyperlink" Target="#Sheet3!A1"/><Relationship Id="rId12" Type="http://schemas.openxmlformats.org/officeDocument/2006/relationships/chart" Target="../charts/chart7.xml"/><Relationship Id="rId17" Type="http://schemas.openxmlformats.org/officeDocument/2006/relationships/chart" Target="../charts/chart11.xml"/><Relationship Id="rId2" Type="http://schemas.openxmlformats.org/officeDocument/2006/relationships/image" Target="../media/image4.svg"/><Relationship Id="rId16" Type="http://schemas.openxmlformats.org/officeDocument/2006/relationships/chart" Target="../charts/chart10.xml"/><Relationship Id="rId20" Type="http://schemas.openxmlformats.org/officeDocument/2006/relationships/image" Target="../media/image12.emf"/><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hyperlink" Target="#Sheet6!A1"/><Relationship Id="rId5" Type="http://schemas.openxmlformats.org/officeDocument/2006/relationships/image" Target="../media/image7.png"/><Relationship Id="rId15" Type="http://schemas.openxmlformats.org/officeDocument/2006/relationships/chart" Target="../charts/chart9.xml"/><Relationship Id="rId10" Type="http://schemas.openxmlformats.org/officeDocument/2006/relationships/chart" Target="../charts/chart6.xml"/><Relationship Id="rId19" Type="http://schemas.openxmlformats.org/officeDocument/2006/relationships/image" Target="../media/image11.svg"/><Relationship Id="rId4" Type="http://schemas.openxmlformats.org/officeDocument/2006/relationships/image" Target="../media/image6.svg"/><Relationship Id="rId9" Type="http://schemas.openxmlformats.org/officeDocument/2006/relationships/hyperlink" Target="#Sheet4!A1"/><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2</xdr:col>
      <xdr:colOff>571500</xdr:colOff>
      <xdr:row>22</xdr:row>
      <xdr:rowOff>121920</xdr:rowOff>
    </xdr:from>
    <xdr:to>
      <xdr:col>4</xdr:col>
      <xdr:colOff>15240</xdr:colOff>
      <xdr:row>25</xdr:row>
      <xdr:rowOff>15240</xdr:rowOff>
    </xdr:to>
    <xdr:graphicFrame macro="">
      <xdr:nvGraphicFramePr>
        <xdr:cNvPr id="11" name="Chart 10">
          <a:extLst>
            <a:ext uri="{FF2B5EF4-FFF2-40B4-BE49-F238E27FC236}">
              <a16:creationId xmlns:a16="http://schemas.microsoft.com/office/drawing/2014/main" id="{BAA6F832-92A8-782D-D26D-19D5AFCFA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167640</xdr:rowOff>
    </xdr:from>
    <xdr:to>
      <xdr:col>15</xdr:col>
      <xdr:colOff>571500</xdr:colOff>
      <xdr:row>25</xdr:row>
      <xdr:rowOff>60960</xdr:rowOff>
    </xdr:to>
    <xdr:graphicFrame macro="">
      <xdr:nvGraphicFramePr>
        <xdr:cNvPr id="2" name="Chart 1">
          <a:extLst>
            <a:ext uri="{FF2B5EF4-FFF2-40B4-BE49-F238E27FC236}">
              <a16:creationId xmlns:a16="http://schemas.microsoft.com/office/drawing/2014/main" id="{1C9857C4-A143-4220-9F91-AEA520A4F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0.0053</cdr:x>
      <cdr:y>0.01138</cdr:y>
    </cdr:from>
    <cdr:to>
      <cdr:x>0.06487</cdr:x>
      <cdr:y>0.13936</cdr:y>
    </cdr:to>
    <cdr:pic>
      <cdr:nvPicPr>
        <cdr:cNvPr id="2" name="Graphic 6"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7F715A1-C1AA-41BB-A5D1-93EE726E677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71500" cy="5715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342900</xdr:colOff>
      <xdr:row>1</xdr:row>
      <xdr:rowOff>160020</xdr:rowOff>
    </xdr:from>
    <xdr:to>
      <xdr:col>16</xdr:col>
      <xdr:colOff>556260</xdr:colOff>
      <xdr:row>24</xdr:row>
      <xdr:rowOff>91440</xdr:rowOff>
    </xdr:to>
    <xdr:graphicFrame macro="">
      <xdr:nvGraphicFramePr>
        <xdr:cNvPr id="2" name="Chart 1">
          <a:extLst>
            <a:ext uri="{FF2B5EF4-FFF2-40B4-BE49-F238E27FC236}">
              <a16:creationId xmlns:a16="http://schemas.microsoft.com/office/drawing/2014/main" id="{C1FD769B-AFEC-4A6B-B8C2-078CC630B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0.0051</cdr:x>
      <cdr:y>0.01228</cdr:y>
    </cdr:from>
    <cdr:to>
      <cdr:x>0.06244</cdr:x>
      <cdr:y>0.1504</cdr:y>
    </cdr:to>
    <cdr:pic>
      <cdr:nvPicPr>
        <cdr:cNvPr id="2" name="Graphic 6"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B401D3B-C9D8-806B-17D2-FCAEF9A493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71500" cy="5715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320040</xdr:colOff>
      <xdr:row>0</xdr:row>
      <xdr:rowOff>83820</xdr:rowOff>
    </xdr:from>
    <xdr:to>
      <xdr:col>20</xdr:col>
      <xdr:colOff>60960</xdr:colOff>
      <xdr:row>38</xdr:row>
      <xdr:rowOff>91440</xdr:rowOff>
    </xdr:to>
    <xdr:graphicFrame macro="">
      <xdr:nvGraphicFramePr>
        <xdr:cNvPr id="2" name="Chart 1">
          <a:extLst>
            <a:ext uri="{FF2B5EF4-FFF2-40B4-BE49-F238E27FC236}">
              <a16:creationId xmlns:a16="http://schemas.microsoft.com/office/drawing/2014/main" id="{017C5EB2-D5EC-45DC-8B36-AE3E3E593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358140</xdr:colOff>
      <xdr:row>0</xdr:row>
      <xdr:rowOff>60960</xdr:rowOff>
    </xdr:from>
    <xdr:to>
      <xdr:col>1</xdr:col>
      <xdr:colOff>320040</xdr:colOff>
      <xdr:row>3</xdr:row>
      <xdr:rowOff>83820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9F68DEE-F664-9BC5-98CE-782BF581B1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140" y="60960"/>
          <a:ext cx="571500" cy="57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44303</xdr:colOff>
      <xdr:row>0</xdr:row>
      <xdr:rowOff>75315</xdr:rowOff>
    </xdr:from>
    <xdr:to>
      <xdr:col>5</xdr:col>
      <xdr:colOff>8862</xdr:colOff>
      <xdr:row>3</xdr:row>
      <xdr:rowOff>44303</xdr:rowOff>
    </xdr:to>
    <xdr:sp macro="" textlink="">
      <xdr:nvSpPr>
        <xdr:cNvPr id="2" name="Rectangle: Rounded Corners 1">
          <a:extLst>
            <a:ext uri="{FF2B5EF4-FFF2-40B4-BE49-F238E27FC236}">
              <a16:creationId xmlns:a16="http://schemas.microsoft.com/office/drawing/2014/main" id="{B4F65C28-0B38-5033-1294-81D19C752822}"/>
            </a:ext>
          </a:extLst>
        </xdr:cNvPr>
        <xdr:cNvSpPr/>
      </xdr:nvSpPr>
      <xdr:spPr>
        <a:xfrm>
          <a:off x="44303" y="75315"/>
          <a:ext cx="3021419" cy="513907"/>
        </a:xfrm>
        <a:prstGeom prst="roundRect">
          <a:avLst>
            <a:gd name="adj" fmla="val 18391"/>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73742</xdr:colOff>
      <xdr:row>0</xdr:row>
      <xdr:rowOff>61366</xdr:rowOff>
    </xdr:from>
    <xdr:to>
      <xdr:col>7</xdr:col>
      <xdr:colOff>583790</xdr:colOff>
      <xdr:row>3</xdr:row>
      <xdr:rowOff>30354</xdr:rowOff>
    </xdr:to>
    <xdr:sp macro="" textlink="">
      <xdr:nvSpPr>
        <xdr:cNvPr id="3" name="Rectangle: Rounded Corners 2">
          <a:extLst>
            <a:ext uri="{FF2B5EF4-FFF2-40B4-BE49-F238E27FC236}">
              <a16:creationId xmlns:a16="http://schemas.microsoft.com/office/drawing/2014/main" id="{51CEA83F-FA0A-459B-B0CB-E70AE32F64E7}"/>
            </a:ext>
          </a:extLst>
        </xdr:cNvPr>
        <xdr:cNvSpPr/>
      </xdr:nvSpPr>
      <xdr:spPr>
        <a:xfrm>
          <a:off x="3115597" y="61366"/>
          <a:ext cx="1726790" cy="522053"/>
        </a:xfrm>
        <a:prstGeom prst="roundRect">
          <a:avLst>
            <a:gd name="adj" fmla="val 1839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550350</xdr:colOff>
      <xdr:row>3</xdr:row>
      <xdr:rowOff>121389</xdr:rowOff>
    </xdr:from>
    <xdr:to>
      <xdr:col>7</xdr:col>
      <xdr:colOff>540774</xdr:colOff>
      <xdr:row>9</xdr:row>
      <xdr:rowOff>43015</xdr:rowOff>
    </xdr:to>
    <xdr:sp macro="" textlink="">
      <xdr:nvSpPr>
        <xdr:cNvPr id="7" name="Rectangle: Rounded Corners 6">
          <a:extLst>
            <a:ext uri="{FF2B5EF4-FFF2-40B4-BE49-F238E27FC236}">
              <a16:creationId xmlns:a16="http://schemas.microsoft.com/office/drawing/2014/main" id="{7F6CB103-8358-6A70-ECDA-D2EEC0817120}"/>
            </a:ext>
          </a:extLst>
        </xdr:cNvPr>
        <xdr:cNvSpPr/>
      </xdr:nvSpPr>
      <xdr:spPr>
        <a:xfrm>
          <a:off x="3592205" y="674454"/>
          <a:ext cx="1207166" cy="1027755"/>
        </a:xfrm>
        <a:prstGeom prst="roundRect">
          <a:avLst>
            <a:gd name="adj" fmla="val 12412"/>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433590</xdr:colOff>
      <xdr:row>3</xdr:row>
      <xdr:rowOff>119676</xdr:rowOff>
    </xdr:from>
    <xdr:to>
      <xdr:col>5</xdr:col>
      <xdr:colOff>516194</xdr:colOff>
      <xdr:row>9</xdr:row>
      <xdr:rowOff>43016</xdr:rowOff>
    </xdr:to>
    <xdr:sp macro="" textlink="">
      <xdr:nvSpPr>
        <xdr:cNvPr id="11" name="Rectangle: Rounded Corners 10">
          <a:extLst>
            <a:ext uri="{FF2B5EF4-FFF2-40B4-BE49-F238E27FC236}">
              <a16:creationId xmlns:a16="http://schemas.microsoft.com/office/drawing/2014/main" id="{D26A3321-9B84-CCBA-B4DD-5CBB49381C4C}"/>
            </a:ext>
          </a:extLst>
        </xdr:cNvPr>
        <xdr:cNvSpPr/>
      </xdr:nvSpPr>
      <xdr:spPr>
        <a:xfrm>
          <a:off x="2258703" y="672741"/>
          <a:ext cx="1299346" cy="1029469"/>
        </a:xfrm>
        <a:prstGeom prst="roundRect">
          <a:avLst>
            <a:gd name="adj" fmla="val 14766"/>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366051</xdr:colOff>
      <xdr:row>3</xdr:row>
      <xdr:rowOff>119732</xdr:rowOff>
    </xdr:from>
    <xdr:to>
      <xdr:col>3</xdr:col>
      <xdr:colOff>393291</xdr:colOff>
      <xdr:row>9</xdr:row>
      <xdr:rowOff>49161</xdr:rowOff>
    </xdr:to>
    <xdr:sp macro="" textlink="">
      <xdr:nvSpPr>
        <xdr:cNvPr id="13" name="Rectangle: Rounded Corners 12">
          <a:extLst>
            <a:ext uri="{FF2B5EF4-FFF2-40B4-BE49-F238E27FC236}">
              <a16:creationId xmlns:a16="http://schemas.microsoft.com/office/drawing/2014/main" id="{9AF71C06-683B-D73E-CF50-289F7F229A3F}"/>
            </a:ext>
          </a:extLst>
        </xdr:cNvPr>
        <xdr:cNvSpPr/>
      </xdr:nvSpPr>
      <xdr:spPr>
        <a:xfrm>
          <a:off x="974422" y="672797"/>
          <a:ext cx="1243982" cy="1035558"/>
        </a:xfrm>
        <a:prstGeom prst="roundRect">
          <a:avLst>
            <a:gd name="adj" fmla="val 11007"/>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424015</xdr:colOff>
      <xdr:row>0</xdr:row>
      <xdr:rowOff>129050</xdr:rowOff>
    </xdr:from>
    <xdr:to>
      <xdr:col>4</xdr:col>
      <xdr:colOff>565354</xdr:colOff>
      <xdr:row>1</xdr:row>
      <xdr:rowOff>159775</xdr:rowOff>
    </xdr:to>
    <xdr:sp macro="" textlink="">
      <xdr:nvSpPr>
        <xdr:cNvPr id="14" name="TextBox 13">
          <a:extLst>
            <a:ext uri="{FF2B5EF4-FFF2-40B4-BE49-F238E27FC236}">
              <a16:creationId xmlns:a16="http://schemas.microsoft.com/office/drawing/2014/main" id="{39AFC52B-9A2B-7210-550B-1B6FA459877A}"/>
            </a:ext>
          </a:extLst>
        </xdr:cNvPr>
        <xdr:cNvSpPr txBox="1"/>
      </xdr:nvSpPr>
      <xdr:spPr>
        <a:xfrm>
          <a:off x="424015" y="129050"/>
          <a:ext cx="2574823"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solidFill>
                <a:schemeClr val="bg1"/>
              </a:solidFill>
            </a:rPr>
            <a:t>Hospital</a:t>
          </a:r>
          <a:r>
            <a:rPr lang="en-IN" sz="1200" baseline="0">
              <a:solidFill>
                <a:schemeClr val="bg1"/>
              </a:solidFill>
            </a:rPr>
            <a:t> Emergency Room Dashboard</a:t>
          </a:r>
          <a:endParaRPr lang="en-IN" sz="1200">
            <a:solidFill>
              <a:schemeClr val="bg1"/>
            </a:solidFill>
          </a:endParaRPr>
        </a:p>
      </xdr:txBody>
    </xdr:sp>
    <xdr:clientData/>
  </xdr:twoCellAnchor>
  <xdr:twoCellAnchor editAs="oneCell">
    <xdr:from>
      <xdr:col>0</xdr:col>
      <xdr:colOff>410495</xdr:colOff>
      <xdr:row>1</xdr:row>
      <xdr:rowOff>164691</xdr:rowOff>
    </xdr:from>
    <xdr:to>
      <xdr:col>4</xdr:col>
      <xdr:colOff>551834</xdr:colOff>
      <xdr:row>3</xdr:row>
      <xdr:rowOff>11061</xdr:rowOff>
    </xdr:to>
    <xdr:sp macro="" textlink="">
      <xdr:nvSpPr>
        <xdr:cNvPr id="15" name="TextBox 14">
          <a:extLst>
            <a:ext uri="{FF2B5EF4-FFF2-40B4-BE49-F238E27FC236}">
              <a16:creationId xmlns:a16="http://schemas.microsoft.com/office/drawing/2014/main" id="{0C873AD3-E658-D82D-64E5-9E9E52F65938}"/>
            </a:ext>
          </a:extLst>
        </xdr:cNvPr>
        <xdr:cNvSpPr txBox="1"/>
      </xdr:nvSpPr>
      <xdr:spPr>
        <a:xfrm>
          <a:off x="410495" y="349046"/>
          <a:ext cx="2574823"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solidFill>
                <a:schemeClr val="bg1"/>
              </a:solidFill>
            </a:rPr>
            <a:t>Monthly</a:t>
          </a:r>
          <a:r>
            <a:rPr lang="en-IN" sz="1050" baseline="0">
              <a:solidFill>
                <a:schemeClr val="bg1"/>
              </a:solidFill>
            </a:rPr>
            <a:t> analysis</a:t>
          </a:r>
          <a:endParaRPr lang="en-IN" sz="1050">
            <a:solidFill>
              <a:schemeClr val="bg1"/>
            </a:solidFill>
          </a:endParaRPr>
        </a:p>
      </xdr:txBody>
    </xdr:sp>
    <xdr:clientData/>
  </xdr:twoCellAnchor>
  <xdr:twoCellAnchor editAs="oneCell">
    <xdr:from>
      <xdr:col>1</xdr:col>
      <xdr:colOff>464573</xdr:colOff>
      <xdr:row>5</xdr:row>
      <xdr:rowOff>58994</xdr:rowOff>
    </xdr:from>
    <xdr:to>
      <xdr:col>3</xdr:col>
      <xdr:colOff>288822</xdr:colOff>
      <xdr:row>6</xdr:row>
      <xdr:rowOff>89719</xdr:rowOff>
    </xdr:to>
    <xdr:sp macro="" textlink="Sheet1!E3">
      <xdr:nvSpPr>
        <xdr:cNvPr id="19" name="TextBox 18">
          <a:extLst>
            <a:ext uri="{FF2B5EF4-FFF2-40B4-BE49-F238E27FC236}">
              <a16:creationId xmlns:a16="http://schemas.microsoft.com/office/drawing/2014/main" id="{CDB44201-E60A-5ED8-4432-42DCBB6059EB}"/>
            </a:ext>
          </a:extLst>
        </xdr:cNvPr>
        <xdr:cNvSpPr txBox="1"/>
      </xdr:nvSpPr>
      <xdr:spPr>
        <a:xfrm>
          <a:off x="1072944" y="980768"/>
          <a:ext cx="1040991"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7161266-E0AD-4472-8F62-569143539064}" type="TxLink">
            <a:rPr lang="en-US" sz="1100" b="0" i="0" u="none" strike="noStrike">
              <a:solidFill>
                <a:schemeClr val="bg1"/>
              </a:solidFill>
              <a:latin typeface="Calibri"/>
              <a:cs typeface="Calibri"/>
            </a:rPr>
            <a:pPr algn="ctr"/>
            <a:t>464</a:t>
          </a:fld>
          <a:endParaRPr lang="en-IN" sz="1050">
            <a:solidFill>
              <a:schemeClr val="bg1"/>
            </a:solidFill>
          </a:endParaRPr>
        </a:p>
      </xdr:txBody>
    </xdr:sp>
    <xdr:clientData/>
  </xdr:twoCellAnchor>
  <xdr:twoCellAnchor editAs="oneCell">
    <xdr:from>
      <xdr:col>3</xdr:col>
      <xdr:colOff>549376</xdr:colOff>
      <xdr:row>5</xdr:row>
      <xdr:rowOff>51618</xdr:rowOff>
    </xdr:from>
    <xdr:to>
      <xdr:col>5</xdr:col>
      <xdr:colOff>373625</xdr:colOff>
      <xdr:row>6</xdr:row>
      <xdr:rowOff>82343</xdr:rowOff>
    </xdr:to>
    <xdr:sp macro="" textlink="Sheet1!F3">
      <xdr:nvSpPr>
        <xdr:cNvPr id="20" name="TextBox 19">
          <a:extLst>
            <a:ext uri="{FF2B5EF4-FFF2-40B4-BE49-F238E27FC236}">
              <a16:creationId xmlns:a16="http://schemas.microsoft.com/office/drawing/2014/main" id="{40312DE9-82C5-4977-8F8F-0553B8DFF882}"/>
            </a:ext>
          </a:extLst>
        </xdr:cNvPr>
        <xdr:cNvSpPr txBox="1"/>
      </xdr:nvSpPr>
      <xdr:spPr>
        <a:xfrm>
          <a:off x="2374489" y="973392"/>
          <a:ext cx="1040991"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F91CD8E-F2B2-451A-83E0-7DF77E223307}" type="TxLink">
            <a:rPr lang="en-US" sz="1100" b="0" i="0" u="none" strike="noStrike">
              <a:solidFill>
                <a:schemeClr val="bg1"/>
              </a:solidFill>
              <a:latin typeface="Calibri"/>
              <a:cs typeface="Calibri"/>
            </a:rPr>
            <a:pPr algn="ctr"/>
            <a:t>34.72</a:t>
          </a:fld>
          <a:endParaRPr lang="en-IN" sz="1050">
            <a:solidFill>
              <a:schemeClr val="bg1"/>
            </a:solidFill>
          </a:endParaRPr>
        </a:p>
      </xdr:txBody>
    </xdr:sp>
    <xdr:clientData/>
  </xdr:twoCellAnchor>
  <xdr:twoCellAnchor editAs="oneCell">
    <xdr:from>
      <xdr:col>6</xdr:col>
      <xdr:colOff>13518</xdr:colOff>
      <xdr:row>5</xdr:row>
      <xdr:rowOff>50389</xdr:rowOff>
    </xdr:from>
    <xdr:to>
      <xdr:col>7</xdr:col>
      <xdr:colOff>446138</xdr:colOff>
      <xdr:row>6</xdr:row>
      <xdr:rowOff>81114</xdr:rowOff>
    </xdr:to>
    <xdr:sp macro="" textlink="Sheet1!G3">
      <xdr:nvSpPr>
        <xdr:cNvPr id="21" name="TextBox 20">
          <a:extLst>
            <a:ext uri="{FF2B5EF4-FFF2-40B4-BE49-F238E27FC236}">
              <a16:creationId xmlns:a16="http://schemas.microsoft.com/office/drawing/2014/main" id="{D393EF24-6FD3-AA92-A548-1AE2CAA4CC72}"/>
            </a:ext>
          </a:extLst>
        </xdr:cNvPr>
        <xdr:cNvSpPr txBox="1"/>
      </xdr:nvSpPr>
      <xdr:spPr>
        <a:xfrm>
          <a:off x="3663744" y="972163"/>
          <a:ext cx="1040991"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7AA99EE-4AA0-4D29-B73D-D7FDE65CF01E}" type="TxLink">
            <a:rPr lang="en-US" sz="1100" b="0" i="0" u="none" strike="noStrike">
              <a:solidFill>
                <a:schemeClr val="bg1"/>
              </a:solidFill>
              <a:latin typeface="Calibri"/>
              <a:cs typeface="Calibri"/>
            </a:rPr>
            <a:pPr algn="ctr"/>
            <a:t>4.99</a:t>
          </a:fld>
          <a:endParaRPr lang="en-IN" sz="1050">
            <a:solidFill>
              <a:schemeClr val="bg1"/>
            </a:solidFill>
          </a:endParaRPr>
        </a:p>
      </xdr:txBody>
    </xdr:sp>
    <xdr:clientData/>
  </xdr:twoCellAnchor>
  <xdr:twoCellAnchor editAs="oneCell">
    <xdr:from>
      <xdr:col>1</xdr:col>
      <xdr:colOff>467032</xdr:colOff>
      <xdr:row>4</xdr:row>
      <xdr:rowOff>52850</xdr:rowOff>
    </xdr:from>
    <xdr:to>
      <xdr:col>3</xdr:col>
      <xdr:colOff>307259</xdr:colOff>
      <xdr:row>5</xdr:row>
      <xdr:rowOff>83575</xdr:rowOff>
    </xdr:to>
    <xdr:sp macro="" textlink="">
      <xdr:nvSpPr>
        <xdr:cNvPr id="22" name="TextBox 21">
          <a:extLst>
            <a:ext uri="{FF2B5EF4-FFF2-40B4-BE49-F238E27FC236}">
              <a16:creationId xmlns:a16="http://schemas.microsoft.com/office/drawing/2014/main" id="{B58728FF-55BE-A7AB-FDDC-C9E7AE4BA6FD}"/>
            </a:ext>
          </a:extLst>
        </xdr:cNvPr>
        <xdr:cNvSpPr txBox="1"/>
      </xdr:nvSpPr>
      <xdr:spPr>
        <a:xfrm>
          <a:off x="1075403" y="790269"/>
          <a:ext cx="1056969"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1000">
              <a:solidFill>
                <a:schemeClr val="bg1"/>
              </a:solidFill>
            </a:rPr>
            <a:t>Total</a:t>
          </a:r>
          <a:r>
            <a:rPr lang="en-IN" sz="1000" baseline="0">
              <a:solidFill>
                <a:schemeClr val="bg1"/>
              </a:solidFill>
            </a:rPr>
            <a:t> Patient</a:t>
          </a:r>
          <a:endParaRPr lang="en-IN" sz="1000">
            <a:solidFill>
              <a:schemeClr val="bg1"/>
            </a:solidFill>
          </a:endParaRPr>
        </a:p>
      </xdr:txBody>
    </xdr:sp>
    <xdr:clientData/>
  </xdr:twoCellAnchor>
  <xdr:twoCellAnchor editAs="oneCell">
    <xdr:from>
      <xdr:col>5</xdr:col>
      <xdr:colOff>589936</xdr:colOff>
      <xdr:row>4</xdr:row>
      <xdr:rowOff>30727</xdr:rowOff>
    </xdr:from>
    <xdr:to>
      <xdr:col>6</xdr:col>
      <xdr:colOff>233517</xdr:colOff>
      <xdr:row>5</xdr:row>
      <xdr:rowOff>98324</xdr:rowOff>
    </xdr:to>
    <xdr:pic>
      <xdr:nvPicPr>
        <xdr:cNvPr id="24" name="Graphic 23" descr="Customer review with solid fill">
          <a:extLst>
            <a:ext uri="{FF2B5EF4-FFF2-40B4-BE49-F238E27FC236}">
              <a16:creationId xmlns:a16="http://schemas.microsoft.com/office/drawing/2014/main" id="{AD07D229-B44B-E158-87C0-B61F3C775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31791" y="768146"/>
          <a:ext cx="251952" cy="251952"/>
        </a:xfrm>
        <a:prstGeom prst="rect">
          <a:avLst/>
        </a:prstGeom>
      </xdr:spPr>
    </xdr:pic>
    <xdr:clientData/>
  </xdr:twoCellAnchor>
  <xdr:twoCellAnchor editAs="oneCell">
    <xdr:from>
      <xdr:col>3</xdr:col>
      <xdr:colOff>487984</xdr:colOff>
      <xdr:row>4</xdr:row>
      <xdr:rowOff>33242</xdr:rowOff>
    </xdr:from>
    <xdr:to>
      <xdr:col>4</xdr:col>
      <xdr:colOff>116758</xdr:colOff>
      <xdr:row>5</xdr:row>
      <xdr:rowOff>86032</xdr:rowOff>
    </xdr:to>
    <xdr:pic>
      <xdr:nvPicPr>
        <xdr:cNvPr id="26" name="Graphic 25" descr="Hourglass Finished with solid fill">
          <a:extLst>
            <a:ext uri="{FF2B5EF4-FFF2-40B4-BE49-F238E27FC236}">
              <a16:creationId xmlns:a16="http://schemas.microsoft.com/office/drawing/2014/main" id="{12696EA4-E62E-11F5-F8FE-01F9B68080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13097" y="770661"/>
          <a:ext cx="237145" cy="237145"/>
        </a:xfrm>
        <a:prstGeom prst="rect">
          <a:avLst/>
        </a:prstGeom>
      </xdr:spPr>
    </xdr:pic>
    <xdr:clientData/>
  </xdr:twoCellAnchor>
  <xdr:twoCellAnchor editAs="oneCell">
    <xdr:from>
      <xdr:col>1</xdr:col>
      <xdr:colOff>453628</xdr:colOff>
      <xdr:row>4</xdr:row>
      <xdr:rowOff>29613</xdr:rowOff>
    </xdr:from>
    <xdr:to>
      <xdr:col>2</xdr:col>
      <xdr:colOff>110612</xdr:colOff>
      <xdr:row>5</xdr:row>
      <xdr:rowOff>110613</xdr:rowOff>
    </xdr:to>
    <xdr:pic>
      <xdr:nvPicPr>
        <xdr:cNvPr id="28" name="Graphic 27" descr="Male profile with solid fill">
          <a:extLst>
            <a:ext uri="{FF2B5EF4-FFF2-40B4-BE49-F238E27FC236}">
              <a16:creationId xmlns:a16="http://schemas.microsoft.com/office/drawing/2014/main" id="{080DE006-0BA3-006D-54D0-63A30BB213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61999" y="767032"/>
          <a:ext cx="265355" cy="265355"/>
        </a:xfrm>
        <a:prstGeom prst="rect">
          <a:avLst/>
        </a:prstGeom>
      </xdr:spPr>
    </xdr:pic>
    <xdr:clientData/>
  </xdr:twoCellAnchor>
  <xdr:twoCellAnchor>
    <xdr:from>
      <xdr:col>1</xdr:col>
      <xdr:colOff>460888</xdr:colOff>
      <xdr:row>5</xdr:row>
      <xdr:rowOff>178209</xdr:rowOff>
    </xdr:from>
    <xdr:to>
      <xdr:col>3</xdr:col>
      <xdr:colOff>392458</xdr:colOff>
      <xdr:row>8</xdr:row>
      <xdr:rowOff>153628</xdr:rowOff>
    </xdr:to>
    <xdr:graphicFrame macro="">
      <xdr:nvGraphicFramePr>
        <xdr:cNvPr id="32" name="Chart 31">
          <a:hlinkClick xmlns:r="http://schemas.openxmlformats.org/officeDocument/2006/relationships" r:id="rId7"/>
          <a:extLst>
            <a:ext uri="{FF2B5EF4-FFF2-40B4-BE49-F238E27FC236}">
              <a16:creationId xmlns:a16="http://schemas.microsoft.com/office/drawing/2014/main" id="{654F1455-9C11-4287-ADE9-C7622EB0B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83572</xdr:colOff>
      <xdr:row>4</xdr:row>
      <xdr:rowOff>58995</xdr:rowOff>
    </xdr:from>
    <xdr:to>
      <xdr:col>5</xdr:col>
      <xdr:colOff>479322</xdr:colOff>
      <xdr:row>5</xdr:row>
      <xdr:rowOff>55307</xdr:rowOff>
    </xdr:to>
    <xdr:sp macro="" textlink="">
      <xdr:nvSpPr>
        <xdr:cNvPr id="29" name="TextBox 28">
          <a:extLst>
            <a:ext uri="{FF2B5EF4-FFF2-40B4-BE49-F238E27FC236}">
              <a16:creationId xmlns:a16="http://schemas.microsoft.com/office/drawing/2014/main" id="{27FDB2E7-0776-DB7C-ACD2-9C2124A5EB5F}"/>
            </a:ext>
          </a:extLst>
        </xdr:cNvPr>
        <xdr:cNvSpPr txBox="1"/>
      </xdr:nvSpPr>
      <xdr:spPr>
        <a:xfrm>
          <a:off x="2517056" y="796414"/>
          <a:ext cx="1004121" cy="18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solidFill>
                <a:schemeClr val="bg1"/>
              </a:solidFill>
            </a:rPr>
            <a:t>Avg.</a:t>
          </a:r>
          <a:r>
            <a:rPr lang="en-IN" sz="1000" baseline="0">
              <a:solidFill>
                <a:schemeClr val="bg1"/>
              </a:solidFill>
            </a:rPr>
            <a:t> Waiting Time</a:t>
          </a:r>
          <a:endParaRPr lang="en-IN" sz="1000">
            <a:solidFill>
              <a:schemeClr val="bg1"/>
            </a:solidFill>
          </a:endParaRPr>
        </a:p>
      </xdr:txBody>
    </xdr:sp>
    <xdr:clientData/>
  </xdr:twoCellAnchor>
  <xdr:twoCellAnchor editAs="oneCell">
    <xdr:from>
      <xdr:col>6</xdr:col>
      <xdr:colOff>194186</xdr:colOff>
      <xdr:row>4</xdr:row>
      <xdr:rowOff>40559</xdr:rowOff>
    </xdr:from>
    <xdr:to>
      <xdr:col>7</xdr:col>
      <xdr:colOff>553064</xdr:colOff>
      <xdr:row>5</xdr:row>
      <xdr:rowOff>71284</xdr:rowOff>
    </xdr:to>
    <xdr:sp macro="" textlink="">
      <xdr:nvSpPr>
        <xdr:cNvPr id="30" name="TextBox 29">
          <a:extLst>
            <a:ext uri="{FF2B5EF4-FFF2-40B4-BE49-F238E27FC236}">
              <a16:creationId xmlns:a16="http://schemas.microsoft.com/office/drawing/2014/main" id="{E99A1AED-D910-B369-ABA2-FE9FA54B1165}"/>
            </a:ext>
          </a:extLst>
        </xdr:cNvPr>
        <xdr:cNvSpPr txBox="1"/>
      </xdr:nvSpPr>
      <xdr:spPr>
        <a:xfrm>
          <a:off x="3844412" y="777978"/>
          <a:ext cx="967249"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solidFill>
                <a:schemeClr val="bg1"/>
              </a:solidFill>
            </a:rPr>
            <a:t>Satisfactory</a:t>
          </a:r>
          <a:r>
            <a:rPr lang="en-IN" sz="1000" baseline="0"/>
            <a:t> </a:t>
          </a:r>
          <a:r>
            <a:rPr lang="en-IN" sz="1000" baseline="0">
              <a:solidFill>
                <a:schemeClr val="bg1"/>
              </a:solidFill>
            </a:rPr>
            <a:t>Rate</a:t>
          </a:r>
          <a:endParaRPr lang="en-IN" sz="1000">
            <a:solidFill>
              <a:schemeClr val="bg1"/>
            </a:solidFill>
          </a:endParaRPr>
        </a:p>
      </xdr:txBody>
    </xdr:sp>
    <xdr:clientData/>
  </xdr:twoCellAnchor>
  <xdr:twoCellAnchor editAs="oneCell">
    <xdr:from>
      <xdr:col>0</xdr:col>
      <xdr:colOff>99609</xdr:colOff>
      <xdr:row>3</xdr:row>
      <xdr:rowOff>141338</xdr:rowOff>
    </xdr:from>
    <xdr:to>
      <xdr:col>1</xdr:col>
      <xdr:colOff>260858</xdr:colOff>
      <xdr:row>20</xdr:row>
      <xdr:rowOff>165919</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FE02791F-C776-4E19-A665-CE71C48492C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9609" y="682759"/>
              <a:ext cx="772854" cy="3092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497759</xdr:colOff>
      <xdr:row>6</xdr:row>
      <xdr:rowOff>12291</xdr:rowOff>
    </xdr:from>
    <xdr:to>
      <xdr:col>5</xdr:col>
      <xdr:colOff>436307</xdr:colOff>
      <xdr:row>8</xdr:row>
      <xdr:rowOff>122904</xdr:rowOff>
    </xdr:to>
    <xdr:graphicFrame macro="">
      <xdr:nvGraphicFramePr>
        <xdr:cNvPr id="34" name="Chart 33">
          <a:hlinkClick xmlns:r="http://schemas.openxmlformats.org/officeDocument/2006/relationships" r:id="rId9"/>
          <a:extLst>
            <a:ext uri="{FF2B5EF4-FFF2-40B4-BE49-F238E27FC236}">
              <a16:creationId xmlns:a16="http://schemas.microsoft.com/office/drawing/2014/main" id="{A40FA285-1859-423C-B836-FF99BFB7F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6144</xdr:colOff>
      <xdr:row>6</xdr:row>
      <xdr:rowOff>0</xdr:rowOff>
    </xdr:from>
    <xdr:to>
      <xdr:col>7</xdr:col>
      <xdr:colOff>503902</xdr:colOff>
      <xdr:row>8</xdr:row>
      <xdr:rowOff>147483</xdr:rowOff>
    </xdr:to>
    <xdr:graphicFrame macro="">
      <xdr:nvGraphicFramePr>
        <xdr:cNvPr id="35" name="Chart 34">
          <a:hlinkClick xmlns:r="http://schemas.openxmlformats.org/officeDocument/2006/relationships" r:id="rId11"/>
          <a:extLst>
            <a:ext uri="{FF2B5EF4-FFF2-40B4-BE49-F238E27FC236}">
              <a16:creationId xmlns:a16="http://schemas.microsoft.com/office/drawing/2014/main" id="{84568EB8-033D-4507-B5ED-99879E8DA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374855</xdr:colOff>
          <xdr:row>10</xdr:row>
          <xdr:rowOff>24581</xdr:rowOff>
        </xdr:from>
        <xdr:to>
          <xdr:col>7</xdr:col>
          <xdr:colOff>589936</xdr:colOff>
          <xdr:row>13</xdr:row>
          <xdr:rowOff>88420</xdr:rowOff>
        </xdr:to>
        <xdr:pic>
          <xdr:nvPicPr>
            <xdr:cNvPr id="45" name="Picture 44">
              <a:extLst>
                <a:ext uri="{FF2B5EF4-FFF2-40B4-BE49-F238E27FC236}">
                  <a16:creationId xmlns:a16="http://schemas.microsoft.com/office/drawing/2014/main" id="{69BC3EAE-5717-C301-1765-F3BAC5A13A35}"/>
                </a:ext>
              </a:extLst>
            </xdr:cNvPr>
            <xdr:cNvPicPr>
              <a:picLocks noChangeAspect="1" noChangeArrowheads="1"/>
              <a:extLst>
                <a:ext uri="{84589F7E-364E-4C9E-8A38-B11213B215E9}">
                  <a14:cameraTool cellRange="Sheet1!$A$23:$D$25" spid="_x0000_s2073"/>
                </a:ext>
              </a:extLst>
            </xdr:cNvPicPr>
          </xdr:nvPicPr>
          <xdr:blipFill>
            <a:blip xmlns:r="http://schemas.openxmlformats.org/officeDocument/2006/relationships" r:embed="rId13"/>
            <a:srcRect/>
            <a:stretch>
              <a:fillRect/>
            </a:stretch>
          </xdr:blipFill>
          <xdr:spPr bwMode="auto">
            <a:xfrm>
              <a:off x="983226" y="1868129"/>
              <a:ext cx="3865307" cy="616904"/>
            </a:xfrm>
            <a:prstGeom prst="roundRect">
              <a:avLst>
                <a:gd name="adj" fmla="val 15671"/>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417871</xdr:colOff>
      <xdr:row>13</xdr:row>
      <xdr:rowOff>156973</xdr:rowOff>
    </xdr:from>
    <xdr:to>
      <xdr:col>7</xdr:col>
      <xdr:colOff>417870</xdr:colOff>
      <xdr:row>19</xdr:row>
      <xdr:rowOff>153629</xdr:rowOff>
    </xdr:to>
    <xdr:graphicFrame macro="">
      <xdr:nvGraphicFramePr>
        <xdr:cNvPr id="46" name="Chart 45">
          <a:extLst>
            <a:ext uri="{FF2B5EF4-FFF2-40B4-BE49-F238E27FC236}">
              <a16:creationId xmlns:a16="http://schemas.microsoft.com/office/drawing/2014/main" id="{5E82BA15-B9E4-44C8-89C8-2BEE5158B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306028</xdr:colOff>
      <xdr:row>19</xdr:row>
      <xdr:rowOff>119217</xdr:rowOff>
    </xdr:from>
    <xdr:to>
      <xdr:col>6</xdr:col>
      <xdr:colOff>325693</xdr:colOff>
      <xdr:row>20</xdr:row>
      <xdr:rowOff>149942</xdr:rowOff>
    </xdr:to>
    <xdr:sp macro="" textlink="">
      <xdr:nvSpPr>
        <xdr:cNvPr id="47" name="TextBox 46">
          <a:extLst>
            <a:ext uri="{FF2B5EF4-FFF2-40B4-BE49-F238E27FC236}">
              <a16:creationId xmlns:a16="http://schemas.microsoft.com/office/drawing/2014/main" id="{0F347178-264E-4FFB-CD62-A234FBB4C66D}"/>
            </a:ext>
          </a:extLst>
        </xdr:cNvPr>
        <xdr:cNvSpPr txBox="1"/>
      </xdr:nvSpPr>
      <xdr:spPr>
        <a:xfrm>
          <a:off x="1522770" y="3621959"/>
          <a:ext cx="2453149"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1100">
              <a:solidFill>
                <a:schemeClr val="tx2">
                  <a:lumMod val="10000"/>
                  <a:lumOff val="90000"/>
                </a:schemeClr>
              </a:solidFill>
            </a:rPr>
            <a:t>No.</a:t>
          </a:r>
          <a:r>
            <a:rPr lang="en-IN" sz="1100" baseline="0">
              <a:solidFill>
                <a:schemeClr val="tx2">
                  <a:lumMod val="10000"/>
                  <a:lumOff val="90000"/>
                </a:schemeClr>
              </a:solidFill>
            </a:rPr>
            <a:t> of Patient by Age Group</a:t>
          </a:r>
          <a:endParaRPr lang="en-IN" sz="1050">
            <a:solidFill>
              <a:schemeClr val="tx2">
                <a:lumMod val="10000"/>
                <a:lumOff val="90000"/>
              </a:schemeClr>
            </a:solidFill>
          </a:endParaRPr>
        </a:p>
      </xdr:txBody>
    </xdr:sp>
    <xdr:clientData/>
  </xdr:twoCellAnchor>
  <xdr:twoCellAnchor>
    <xdr:from>
      <xdr:col>8</xdr:col>
      <xdr:colOff>24580</xdr:colOff>
      <xdr:row>0</xdr:row>
      <xdr:rowOff>92177</xdr:rowOff>
    </xdr:from>
    <xdr:to>
      <xdr:col>10</xdr:col>
      <xdr:colOff>534627</xdr:colOff>
      <xdr:row>9</xdr:row>
      <xdr:rowOff>67596</xdr:rowOff>
    </xdr:to>
    <xdr:graphicFrame macro="">
      <xdr:nvGraphicFramePr>
        <xdr:cNvPr id="48" name="Chart 47">
          <a:extLst>
            <a:ext uri="{FF2B5EF4-FFF2-40B4-BE49-F238E27FC236}">
              <a16:creationId xmlns:a16="http://schemas.microsoft.com/office/drawing/2014/main" id="{47242FAC-7E56-4E9F-B856-7A2FBF055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17205</xdr:colOff>
      <xdr:row>7</xdr:row>
      <xdr:rowOff>143798</xdr:rowOff>
    </xdr:from>
    <xdr:to>
      <xdr:col>11</xdr:col>
      <xdr:colOff>67597</xdr:colOff>
      <xdr:row>8</xdr:row>
      <xdr:rowOff>174523</xdr:rowOff>
    </xdr:to>
    <xdr:sp macro="" textlink="">
      <xdr:nvSpPr>
        <xdr:cNvPr id="49" name="TextBox 48">
          <a:extLst>
            <a:ext uri="{FF2B5EF4-FFF2-40B4-BE49-F238E27FC236}">
              <a16:creationId xmlns:a16="http://schemas.microsoft.com/office/drawing/2014/main" id="{8A9E8328-4CC4-B280-E59A-ED45A91FFD88}"/>
            </a:ext>
          </a:extLst>
        </xdr:cNvPr>
        <xdr:cNvSpPr txBox="1"/>
      </xdr:nvSpPr>
      <xdr:spPr>
        <a:xfrm>
          <a:off x="4884173" y="1434282"/>
          <a:ext cx="1875505"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IN" sz="1050">
              <a:solidFill>
                <a:schemeClr val="tx2">
                  <a:lumMod val="10000"/>
                  <a:lumOff val="90000"/>
                </a:schemeClr>
              </a:solidFill>
            </a:rPr>
            <a:t>   </a:t>
          </a:r>
          <a:r>
            <a:rPr lang="en-IN" sz="1050" baseline="0">
              <a:solidFill>
                <a:schemeClr val="tx2">
                  <a:lumMod val="10000"/>
                  <a:lumOff val="90000"/>
                </a:schemeClr>
              </a:solidFill>
            </a:rPr>
            <a:t>Patients Attended within Time</a:t>
          </a:r>
          <a:endParaRPr lang="en-IN" sz="1050">
            <a:solidFill>
              <a:schemeClr val="tx2">
                <a:lumMod val="10000"/>
                <a:lumOff val="90000"/>
              </a:schemeClr>
            </a:solidFill>
          </a:endParaRPr>
        </a:p>
      </xdr:txBody>
    </xdr:sp>
    <xdr:clientData/>
  </xdr:twoCellAnchor>
  <xdr:twoCellAnchor>
    <xdr:from>
      <xdr:col>11</xdr:col>
      <xdr:colOff>92176</xdr:colOff>
      <xdr:row>0</xdr:row>
      <xdr:rowOff>0</xdr:rowOff>
    </xdr:from>
    <xdr:to>
      <xdr:col>13</xdr:col>
      <xdr:colOff>380999</xdr:colOff>
      <xdr:row>8</xdr:row>
      <xdr:rowOff>122903</xdr:rowOff>
    </xdr:to>
    <xdr:graphicFrame macro="">
      <xdr:nvGraphicFramePr>
        <xdr:cNvPr id="50" name="Chart 49">
          <a:extLst>
            <a:ext uri="{FF2B5EF4-FFF2-40B4-BE49-F238E27FC236}">
              <a16:creationId xmlns:a16="http://schemas.microsoft.com/office/drawing/2014/main" id="{FD886451-247E-4DFF-849A-9C6D36EF4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11</xdr:col>
      <xdr:colOff>157315</xdr:colOff>
      <xdr:row>7</xdr:row>
      <xdr:rowOff>167150</xdr:rowOff>
    </xdr:from>
    <xdr:to>
      <xdr:col>13</xdr:col>
      <xdr:colOff>448596</xdr:colOff>
      <xdr:row>9</xdr:row>
      <xdr:rowOff>13520</xdr:rowOff>
    </xdr:to>
    <xdr:sp macro="" textlink="">
      <xdr:nvSpPr>
        <xdr:cNvPr id="51" name="TextBox 50">
          <a:extLst>
            <a:ext uri="{FF2B5EF4-FFF2-40B4-BE49-F238E27FC236}">
              <a16:creationId xmlns:a16="http://schemas.microsoft.com/office/drawing/2014/main" id="{68799544-4C02-7F47-862D-3BD660AB82D0}"/>
            </a:ext>
          </a:extLst>
        </xdr:cNvPr>
        <xdr:cNvSpPr txBox="1"/>
      </xdr:nvSpPr>
      <xdr:spPr>
        <a:xfrm>
          <a:off x="6849396" y="1457634"/>
          <a:ext cx="1508023"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IN" sz="1050">
              <a:solidFill>
                <a:schemeClr val="tx2">
                  <a:lumMod val="10000"/>
                  <a:lumOff val="90000"/>
                </a:schemeClr>
              </a:solidFill>
            </a:rPr>
            <a:t>   No.</a:t>
          </a:r>
          <a:r>
            <a:rPr lang="en-IN" sz="1050" baseline="0">
              <a:solidFill>
                <a:schemeClr val="tx2">
                  <a:lumMod val="10000"/>
                  <a:lumOff val="90000"/>
                </a:schemeClr>
              </a:solidFill>
            </a:rPr>
            <a:t> of Patient by </a:t>
          </a:r>
          <a:r>
            <a:rPr lang="en-IN" sz="1050">
              <a:solidFill>
                <a:schemeClr val="tx2">
                  <a:lumMod val="10000"/>
                  <a:lumOff val="90000"/>
                </a:schemeClr>
              </a:solidFill>
            </a:rPr>
            <a:t>Gender</a:t>
          </a:r>
          <a:r>
            <a:rPr lang="en-IN" sz="1050" baseline="0">
              <a:solidFill>
                <a:schemeClr val="tx2">
                  <a:lumMod val="10000"/>
                  <a:lumOff val="90000"/>
                </a:schemeClr>
              </a:solidFill>
            </a:rPr>
            <a:t> </a:t>
          </a:r>
        </a:p>
      </xdr:txBody>
    </xdr:sp>
    <xdr:clientData/>
  </xdr:twoCellAnchor>
  <xdr:twoCellAnchor>
    <xdr:from>
      <xdr:col>8</xdr:col>
      <xdr:colOff>233516</xdr:colOff>
      <xdr:row>10</xdr:row>
      <xdr:rowOff>104469</xdr:rowOff>
    </xdr:from>
    <xdr:to>
      <xdr:col>13</xdr:col>
      <xdr:colOff>282676</xdr:colOff>
      <xdr:row>19</xdr:row>
      <xdr:rowOff>135195</xdr:rowOff>
    </xdr:to>
    <xdr:graphicFrame macro="">
      <xdr:nvGraphicFramePr>
        <xdr:cNvPr id="52" name="Chart 51">
          <a:extLst>
            <a:ext uri="{FF2B5EF4-FFF2-40B4-BE49-F238E27FC236}">
              <a16:creationId xmlns:a16="http://schemas.microsoft.com/office/drawing/2014/main" id="{E737087D-9D3C-4A54-B1EF-13494B35B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xdr:col>
      <xdr:colOff>274073</xdr:colOff>
      <xdr:row>19</xdr:row>
      <xdr:rowOff>13520</xdr:rowOff>
    </xdr:from>
    <xdr:to>
      <xdr:col>13</xdr:col>
      <xdr:colOff>293738</xdr:colOff>
      <xdr:row>20</xdr:row>
      <xdr:rowOff>44245</xdr:rowOff>
    </xdr:to>
    <xdr:sp macro="" textlink="">
      <xdr:nvSpPr>
        <xdr:cNvPr id="53" name="TextBox 52">
          <a:extLst>
            <a:ext uri="{FF2B5EF4-FFF2-40B4-BE49-F238E27FC236}">
              <a16:creationId xmlns:a16="http://schemas.microsoft.com/office/drawing/2014/main" id="{1D7B2D9B-771E-2651-6C96-611B9AF9796B}"/>
            </a:ext>
          </a:extLst>
        </xdr:cNvPr>
        <xdr:cNvSpPr txBox="1"/>
      </xdr:nvSpPr>
      <xdr:spPr>
        <a:xfrm>
          <a:off x="5749412" y="3516262"/>
          <a:ext cx="2453149" cy="21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1100">
              <a:solidFill>
                <a:schemeClr val="tx2">
                  <a:lumMod val="10000"/>
                  <a:lumOff val="90000"/>
                </a:schemeClr>
              </a:solidFill>
            </a:rPr>
            <a:t>No.</a:t>
          </a:r>
          <a:r>
            <a:rPr lang="en-IN" sz="1100" baseline="0">
              <a:solidFill>
                <a:schemeClr val="tx2">
                  <a:lumMod val="10000"/>
                  <a:lumOff val="90000"/>
                </a:schemeClr>
              </a:solidFill>
            </a:rPr>
            <a:t> of Patient by Department</a:t>
          </a:r>
          <a:endParaRPr lang="en-IN" sz="1050">
            <a:solidFill>
              <a:schemeClr val="tx2">
                <a:lumMod val="10000"/>
                <a:lumOff val="90000"/>
              </a:schemeClr>
            </a:solidFill>
          </a:endParaRPr>
        </a:p>
      </xdr:txBody>
    </xdr:sp>
    <xdr:clientData/>
  </xdr:twoCellAnchor>
  <xdr:twoCellAnchor editAs="oneCell">
    <xdr:from>
      <xdr:col>0</xdr:col>
      <xdr:colOff>110614</xdr:colOff>
      <xdr:row>0</xdr:row>
      <xdr:rowOff>178211</xdr:rowOff>
    </xdr:from>
    <xdr:to>
      <xdr:col>0</xdr:col>
      <xdr:colOff>405580</xdr:colOff>
      <xdr:row>2</xdr:row>
      <xdr:rowOff>104467</xdr:rowOff>
    </xdr:to>
    <xdr:pic>
      <xdr:nvPicPr>
        <xdr:cNvPr id="57" name="Graphic 56" descr="Stethoscope with solid fill">
          <a:extLst>
            <a:ext uri="{FF2B5EF4-FFF2-40B4-BE49-F238E27FC236}">
              <a16:creationId xmlns:a16="http://schemas.microsoft.com/office/drawing/2014/main" id="{A89270B7-D4C1-5F85-DCEF-08A06AE1DB4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0614" y="178211"/>
          <a:ext cx="294966" cy="294966"/>
        </a:xfrm>
        <a:prstGeom prst="rect">
          <a:avLst/>
        </a:prstGeom>
      </xdr:spPr>
    </xdr:pic>
    <xdr:clientData/>
  </xdr:twoCellAnchor>
  <xdr:twoCellAnchor editAs="oneCell">
    <xdr:from>
      <xdr:col>5</xdr:col>
      <xdr:colOff>178210</xdr:colOff>
      <xdr:row>0</xdr:row>
      <xdr:rowOff>135193</xdr:rowOff>
    </xdr:from>
    <xdr:to>
      <xdr:col>7</xdr:col>
      <xdr:colOff>485468</xdr:colOff>
      <xdr:row>2</xdr:row>
      <xdr:rowOff>132242</xdr:rowOff>
    </xdr:to>
    <mc:AlternateContent xmlns:mc="http://schemas.openxmlformats.org/markup-compatibility/2006" xmlns:a14="http://schemas.microsoft.com/office/drawing/2010/main">
      <mc:Choice Requires="a14">
        <xdr:graphicFrame macro="">
          <xdr:nvGraphicFramePr>
            <xdr:cNvPr id="58" name="Date (Year)">
              <a:extLst>
                <a:ext uri="{FF2B5EF4-FFF2-40B4-BE49-F238E27FC236}">
                  <a16:creationId xmlns:a16="http://schemas.microsoft.com/office/drawing/2014/main" id="{11E0A446-506E-4301-BF0C-3EE8AC45BE8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36236" y="135193"/>
              <a:ext cx="1530469" cy="357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259080</xdr:colOff>
          <xdr:row>9</xdr:row>
          <xdr:rowOff>129540</xdr:rowOff>
        </xdr:from>
        <xdr:to>
          <xdr:col>8</xdr:col>
          <xdr:colOff>45720</xdr:colOff>
          <xdr:row>14</xdr:row>
          <xdr:rowOff>0</xdr:rowOff>
        </xdr:to>
        <xdr:pic>
          <xdr:nvPicPr>
            <xdr:cNvPr id="2067" name="Picture 44">
              <a:extLst>
                <a:ext uri="{FF2B5EF4-FFF2-40B4-BE49-F238E27FC236}">
                  <a16:creationId xmlns:a16="http://schemas.microsoft.com/office/drawing/2014/main" id="{C15F823A-E72D-D5EB-B63D-777851194791}"/>
                </a:ext>
              </a:extLst>
            </xdr:cNvPr>
            <xdr:cNvPicPr>
              <a:picLocks noChangeAspect="1" noChangeArrowheads="1"/>
              <a:extLst>
                <a:ext uri="{84589F7E-364E-4C9E-8A38-B11213B215E9}">
                  <a14:cameraTool cellRange="Sheet1!$A$23:$D$25" spid="_x0000_s2074"/>
                </a:ext>
              </a:extLst>
            </xdr:cNvPicPr>
          </xdr:nvPicPr>
          <xdr:blipFill>
            <a:blip xmlns:r="http://schemas.openxmlformats.org/officeDocument/2006/relationships" r:embed="rId20"/>
            <a:srcRect/>
            <a:stretch>
              <a:fillRect/>
            </a:stretch>
          </xdr:blipFill>
          <xdr:spPr bwMode="auto">
            <a:xfrm>
              <a:off x="868680" y="1775460"/>
              <a:ext cx="4053840" cy="7848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06944447" createdVersion="5" refreshedVersion="8" minRefreshableVersion="3" recordCount="0" supportSubquery="1" supportAdvancedDrill="1" xr:uid="{10090F60-314C-49A4-9898-5E9266C9BE56}">
  <cacheSource type="external" connectionId="5"/>
  <cacheFields count="2">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unt="1">
        <s v="2023"/>
      </sharedItems>
    </cacheField>
  </cacheFields>
  <cacheHierarchies count="32">
    <cacheHierarchy uniqueName="[Calender-table].[Date]" caption="Date" attribute="1" time="1" defaultMemberUniqueName="[Calender-table].[Date].[All]" allUniqueName="[Calender-table].[Date].[All]" dimensionUniqueName="[Calender-table]" displayFolder="" count="2"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2"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1"/>
      </fieldsUsage>
    </cacheHierarchy>
    <cacheHierarchy uniqueName="[Calender-table].[Date (Quarter)]" caption="Date (Quarter)" attribute="1" defaultMemberUniqueName="[Calender-table].[Date (Quarter)].[All]" allUniqueName="[Calender-table].[Date (Quarter)].[All]" dimensionUniqueName="[Calender-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table].[Date (Day Index)]" caption="Date (Day Index)" attribute="1" defaultMemberUniqueName="[Calender-table].[Date (Day Index)].[All]" allUniqueName="[Calender-table].[Date (Day Index)].[All]" dimensionUniqueName="[Calender-table]" displayFolder="" count="2"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09143518" createdVersion="5" refreshedVersion="8" minRefreshableVersion="3" recordCount="0" supportSubquery="1" supportAdvancedDrill="1" xr:uid="{E07BF258-06F3-481E-A881-8862F1E3FDBF}">
  <cacheSource type="external" connectionId="5"/>
  <cacheFields count="3">
    <cacheField name="[Measures].[Distinct Count of Patient Id]" caption="Distinct Count of Patient Id" numFmtId="0" hierarchy="24"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11689812" createdVersion="5" refreshedVersion="8" minRefreshableVersion="3" recordCount="0" supportSubquery="1" supportAdvancedDrill="1" xr:uid="{76220E40-F5CB-4368-B542-4B141A8B69B6}">
  <cacheSource type="external" connectionId="5"/>
  <cacheFields count="4">
    <cacheField name="[Calender-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14236114" createdVersion="5" refreshedVersion="8" minRefreshableVersion="3" recordCount="0" supportSubquery="1" supportAdvancedDrill="1" xr:uid="{C455DEBF-CE40-4840-8EFF-CA0DE6837D30}">
  <cacheSource type="external" connectionId="5"/>
  <cacheFields count="4">
    <cacheField name="[Calender-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16435184" createdVersion="5" refreshedVersion="8" minRefreshableVersion="3" recordCount="0" supportSubquery="1" supportAdvancedDrill="1" xr:uid="{3256C0D5-5E65-402F-9C24-66DEB8E52967}">
  <cacheSource type="external" connectionId="5"/>
  <cacheFields count="3">
    <cacheField name="[Measures].[Average of Patient Waittime]" caption="Average of Patient Waittime" numFmtId="0" hierarchy="26"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18634263" createdVersion="5" refreshedVersion="8" minRefreshableVersion="3" recordCount="0" supportSubquery="1" supportAdvancedDrill="1" xr:uid="{69082B1D-94D3-4BE6-B869-7237717B5902}">
  <cacheSource type="external" connectionId="5"/>
  <cacheFields count="3">
    <cacheField name="[Measures].[Average of Patient Satisfaction Score]" caption="Average of Patient Satisfaction Score" numFmtId="0" hierarchy="28"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20949072" createdVersion="5" refreshedVersion="8" minRefreshableVersion="3" recordCount="0" supportSubquery="1" supportAdvancedDrill="1" xr:uid="{171B04C4-C51D-4051-A418-1B0486D180AA}">
  <cacheSource type="external" connectionId="5"/>
  <cacheFields count="4">
    <cacheField name="[Measures].[Count of Patient Id]" caption="Count of Patient Id" numFmtId="0" hierarchy="23" level="32767"/>
    <cacheField name="[Calender-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2"/>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1"/>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23611112" createdVersion="5" refreshedVersion="8" minRefreshableVersion="3" recordCount="0" supportSubquery="1" supportAdvancedDrill="1" xr:uid="{598152E5-22F4-4A7B-96A7-C45F1D377366}">
  <cacheSource type="external" connectionId="5"/>
  <cacheFields count="4">
    <cacheField name="[Calender-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Jun" u="1"/>
      </sharedItems>
    </cacheField>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26157406" createdVersion="5" refreshedVersion="8" minRefreshableVersion="3" recordCount="0" supportSubquery="1" supportAdvancedDrill="1" xr:uid="{B9D0DFCC-4361-49A7-BFD5-EDB824CD7D87}">
  <cacheSource type="external" connectionId="5"/>
  <cacheFields count="4">
    <cacheField name="[Calender-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Jun" u="1"/>
      </sharedItems>
    </cacheField>
    <cacheField name="[Calender-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287037" createdVersion="5" refreshedVersion="8" minRefreshableVersion="3" recordCount="0" supportSubquery="1" supportAdvancedDrill="1" xr:uid="{28FE1980-3FEE-48FA-8835-E5DD9B20ED2E}">
  <cacheSource type="external" connectionId="5"/>
  <cacheFields count="5">
    <cacheField name="[Calender-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table].[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31134256" createdVersion="5" refreshedVersion="8" minRefreshableVersion="3" recordCount="0" supportSubquery="1" supportAdvancedDrill="1" xr:uid="{DEE8F67C-B58C-4088-B94D-D6896E019A6B}">
  <cacheSource type="external" connectionId="5"/>
  <cacheFields count="4">
    <cacheField name="[Calender-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657133333334" createdVersion="5" refreshedVersion="8" minRefreshableVersion="3" recordCount="0" supportSubquery="1" supportAdvancedDrill="1" xr:uid="{34DCB077-1679-4A35-B4D6-A808E6C0AC21}">
  <cacheSource type="external" connectionId="5"/>
  <cacheFields count="4">
    <cacheField name="[Calender-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table].[Date (Year)].[Date (Year)]" caption="Date (Year)" numFmtId="0" hierarchy="3" level="1">
      <sharedItems containsSemiMixedTypes="0" containsNonDate="0" containsString="0"/>
    </cacheField>
  </cacheFields>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523022337962" createdVersion="3" refreshedVersion="8" minRefreshableVersion="3" recordCount="0" supportSubquery="1" supportAdvancedDrill="1" xr:uid="{34313793-BD26-4041-8DB6-F77669B7BD52}">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835297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1C685-8741-4042-B563-4D82877B7DE5}" name="PivotTable8" cacheId="10" applyNumberFormats="0" applyBorderFormats="0" applyFontFormats="0" applyPatternFormats="0" applyAlignmentFormats="0" applyWidthHeightFormats="1" dataCaption="Values" tag="d8a46afc-8139-42f4-81ef-3c1fad08d3dc" updatedVersion="8" minRefreshableVersion="3" subtotalHiddenItems="1" itemPrintTitles="1" createdVersion="5" indent="0" outline="1" outlineData="1" multipleFieldFilters="0" chartFormat="10">
  <location ref="E5:F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9"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E0B19-C773-4C97-AA42-96C2271D59E4}" name="PivotTable12" cacheId="0" applyNumberFormats="0" applyBorderFormats="0" applyFontFormats="0" applyPatternFormats="0" applyAlignmentFormats="0" applyWidthHeightFormats="1" dataCaption="Values" tag="8e976d9e-af36-4884-9c8d-aab700f18678" updatedVersion="8" minRefreshableVersion="3" subtotalHiddenItems="1" itemPrintTitles="1" createdVersion="5" indent="0" outline="1" outlineData="1" multipleFieldFilters="0" chartFormat="20">
  <location ref="D40:D42"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2">
      <pivotArea outline="0" collapsedLevelsAreSubtotals="1" fieldPosition="0"/>
    </format>
  </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759487-8BF7-4838-B395-1C5B46EDED16}" name="PivotTable10" cacheId="2" applyNumberFormats="0" applyBorderFormats="0" applyFontFormats="0" applyPatternFormats="0" applyAlignmentFormats="0" applyWidthHeightFormats="1" dataCaption="Values" tag="6f2ac372-206c-4637-b20e-8b9148214a7a" updatedVersion="8" minRefreshableVersion="3" subtotalHiddenItems="1" itemPrintTitles="1" createdVersion="5" indent="0" outline="1" outlineData="1" multipleFieldFilters="0" chartFormat="20">
  <location ref="A29:B3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1">
    <format dxfId="3">
      <pivotArea outline="0" collapsedLevelsAreSubtotals="1" fieldPosition="0"/>
    </format>
  </formats>
  <chartFormats count="6">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DC6A7B-D137-4BD4-A21C-4BB025860AEE}" name="PivotTable4" cacheId="6" applyNumberFormats="0" applyBorderFormats="0" applyFontFormats="0" applyPatternFormats="0" applyAlignmentFormats="0" applyWidthHeightFormats="1" dataCaption="Values" tag="9b59fff2-cc00-44e7-945b-5a396e1644f3" updatedVersion="8" minRefreshableVersion="3" useAutoFormatting="1" subtotalHiddenItems="1" itemPrintTitles="1" createdVersion="5" indent="0" outline="1" outlineData="1" multipleFieldFilters="0" chartFormat="17">
  <location ref="H5:I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4"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7307A1-C51D-4063-B0CF-546EC7F17318}" name="PivotTable3" cacheId="5" applyNumberFormats="0" applyBorderFormats="0" applyFontFormats="0" applyPatternFormats="0" applyAlignmentFormats="0" applyWidthHeightFormats="1" dataCaption="Values" tag="556213c5-00a9-438f-b274-dc993ff95a76" updatedVersion="8" minRefreshableVersion="3" subtotalHiddenItems="1" itemPrintTitles="1" createdVersion="5" indent="0" outline="1" outlineData="1" multipleFieldFilters="0">
  <location ref="G2:G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
      <pivotArea outline="0" collapsedLevelsAreSubtotals="1" fieldPosition="0"/>
    </format>
  </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BD6A5-5067-49E3-997A-73DD30A1AD6B}" name="PivotTable7" cacheId="9" applyNumberFormats="0" applyBorderFormats="0" applyFontFormats="0" applyPatternFormats="0" applyAlignmentFormats="0" applyWidthHeightFormats="1" dataCaption="Values" tag="2e3f8e0c-0be0-4228-8838-1f7e26a9995a" updatedVersion="8" minRefreshableVersion="3" subtotalHiddenItems="1" itemPrintTitles="1" createdVersion="5" indent="0" outline="1" outlineData="1" multipleFieldFilters="0" chartFormat="9">
  <location ref="A17:C2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6">
      <pivotArea outline="0" collapsedLevelsAreSubtotals="1" fieldPosition="0"/>
    </format>
    <format dxfId="5">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s>
  <pivotHierarchies count="33">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243F57-7BBB-4DCC-84A4-9F158BE90EC6}" name="PivotTable9" cacheId="11" applyNumberFormats="0" applyBorderFormats="0" applyFontFormats="0" applyPatternFormats="0" applyAlignmentFormats="0" applyWidthHeightFormats="1" dataCaption="Values" tag="1efaccc5-121f-4e6d-839d-c10fad46ccf4" updatedVersion="8" minRefreshableVersion="3" subtotalHiddenItems="1" itemPrintTitles="1" createdVersion="5" indent="0" outline="1" outlineData="1" multipleFieldFilters="0" chartFormat="17">
  <location ref="E31:F3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1">
    <format dxfId="7">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DAC97F-6EBC-4749-B74E-6DE9121D21CA}" name="PivotTable1" cacheId="1" applyNumberFormats="0" applyBorderFormats="0" applyFontFormats="0" applyPatternFormats="0" applyAlignmentFormats="0" applyWidthHeightFormats="1" dataCaption="Values" tag="e32e589a-f11b-4a69-af1b-6d293679dada" updatedVersion="8" minRefreshableVersion="3" subtotalHiddenItems="1" itemPrintTitles="1" createdVersion="5" indent="0" outline="1" outlineData="1" multipleFieldFilters="0">
  <location ref="E2:E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A80035-1B85-4D4F-A277-ED83145CE1EC}" name="PivotTable6" cacheId="8" applyNumberFormats="0" applyBorderFormats="0" applyFontFormats="0" applyPatternFormats="0" applyAlignmentFormats="0" applyWidthHeightFormats="1" dataCaption="Values" tag="fa06bc28-1797-41e7-ae27-8f6a62484ddd" updatedVersion="8" minRefreshableVersion="3" useAutoFormatting="1" subtotalHiddenItems="1" itemPrintTitles="1" createdVersion="5" indent="0" outline="1" outlineData="1" multipleFieldFilters="0" chartFormat="27">
  <location ref="O5:P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9">
      <pivotArea collapsedLevelsAreSubtotals="1" fieldPosition="0">
        <references count="1">
          <reference field="0" count="1">
            <x v="31"/>
          </reference>
        </references>
      </pivotArea>
    </format>
    <format dxfId="8">
      <pivotArea outline="0" collapsedLevelsAreSubtotals="1" fieldPosition="0"/>
    </format>
  </formats>
  <chartFormats count="2">
    <chartFormat chart="20" format="3"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60239E-A563-4A23-AE86-FDFBD52F0D65}" name="PivotTable11" cacheId="3" applyNumberFormats="0" applyBorderFormats="0" applyFontFormats="0" applyPatternFormats="0" applyAlignmentFormats="0" applyWidthHeightFormats="1" dataCaption="Values" tag="c6d41ba6-7ca5-4f36-803a-c7bb3b3055d9" updatedVersion="8" minRefreshableVersion="3" subtotalHiddenItems="1" itemPrintTitles="1" createdVersion="5" indent="0" outline="1" outlineData="1" multipleFieldFilters="0" chartFormat="24">
  <location ref="A37:B4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10">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A532D7-2CAA-49CE-9A6E-4DDFEFDD5835}" name="PivotTable2" cacheId="4" applyNumberFormats="0" applyBorderFormats="0" applyFontFormats="0" applyPatternFormats="0" applyAlignmentFormats="0" applyWidthHeightFormats="1" dataCaption="Values" tag="dad49662-1b64-4466-a4b8-807ee4a84b07" updatedVersion="8" minRefreshableVersion="3" subtotalHiddenItems="1" itemPrintTitles="1" createdVersion="5" indent="0" outline="1" outlineData="1" multipleFieldFilters="0">
  <location ref="F2:F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0C7714-9525-4967-B5D4-CC71A30706CC}" name="PivotTable5" cacheId="7" applyNumberFormats="0" applyBorderFormats="0" applyFontFormats="0" applyPatternFormats="0" applyAlignmentFormats="0" applyWidthHeightFormats="1" dataCaption="Values" tag="3dcf389e-a0fa-47cd-bedc-76980784b49e" updatedVersion="8" minRefreshableVersion="3" useAutoFormatting="1" subtotalHiddenItems="1" itemPrintTitles="1" createdVersion="5" indent="0" outline="1" outlineData="1" multipleFieldFilters="0" chartFormat="18">
  <location ref="L5:M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3">
      <pivotArea collapsedLevelsAreSubtotals="1" fieldPosition="0">
        <references count="1">
          <reference field="0" count="1">
            <x v="31"/>
          </reference>
        </references>
      </pivotArea>
    </format>
    <format dxfId="12">
      <pivotArea outline="0" collapsedLevelsAreSubtotals="1" fieldPosition="0"/>
    </format>
  </formats>
  <chartFormats count="3">
    <chartFormat chart="13"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3A3E834-01DA-4EC2-8A5E-0D0AE048A55A}"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C9CF804-42AE-4FD1-85FA-30E0AA983B8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4C598CD-E25B-4960-94FA-358A0FE34B38}" sourceName="[Calender-table].[Date (Month)]">
  <pivotTables>
    <pivotTable tabId="1" name="PivotTable4"/>
    <pivotTable tabId="1" name="PivotTable5"/>
    <pivotTable tabId="1" name="PivotTable6"/>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s>
  <data>
    <olap pivotCacheId="1783529723">
      <levels count="2">
        <level uniqueName="[Calender-table].[Date (Month)].[(All)]" sourceCaption="(All)" count="0"/>
        <level uniqueName="[Calender-table].[Date (Month)].[Date (Month)]" sourceCaption="Date (Month)" count="12">
          <ranges>
            <range startItem="0">
              <i n="[Calender-table].[Date (Month)].&amp;[Apr]" c="Apr"/>
              <i n="[Calender-table].[Date (Month)].&amp;[May]" c="May"/>
              <i n="[Calender-table].[Date (Month)].&amp;[Jun]" c="Jun"/>
              <i n="[Calender-table].[Date (Month)].&amp;[Jul]" c="Jul"/>
              <i n="[Calender-table].[Date (Month)].&amp;[Aug]" c="Aug"/>
              <i n="[Calender-table].[Date (Month)].&amp;[Sep]" c="Sep"/>
              <i n="[Calender-table].[Date (Month)].&amp;[Oct]" c="Oct"/>
              <i n="[Calender-table].[Date (Month)].&amp;[Nov]" c="Nov"/>
              <i n="[Calender-table].[Date (Month)].&amp;[Dec]" c="Dec"/>
              <i n="[Calender-table].[Date (Month)].&amp;[Jan]" c="Jan" nd="1"/>
              <i n="[Calender-table].[Date (Month)].&amp;[Feb]" c="Feb" nd="1"/>
              <i n="[Calender-table].[Date (Month)].&amp;[Mar]" c="Mar" nd="1"/>
            </range>
          </ranges>
        </level>
      </levels>
      <selections count="1">
        <selection n="[Calender-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187D11E-4F84-439D-834B-3195921416FE}" sourceName="[Calender-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83529723">
      <levels count="2">
        <level uniqueName="[Calender-table].[Date (Year)].[(All)]" sourceCaption="(All)" count="0"/>
        <level uniqueName="[Calender-table].[Date (Year)].[Date (Year)]" sourceCaption="Date (Year)" count="2">
          <ranges>
            <range startItem="0">
              <i n="[Calender-table].[Date (Year)].&amp;[2023]" c="2023"/>
              <i n="[Calender-table].[Date (Year)].&amp;[2024]" c="2024"/>
            </range>
          </ranges>
        </level>
      </levels>
      <selections count="1">
        <selection n="[Calender-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2C0A701-24F2-44E7-AC38-41AE86DA33B1}" cache="Slicer_Date__Month" caption="Date (Month)" showCaption="0" level="1" style="Slicer Style 1" rowHeight="208800"/>
  <slicer name="Date (Year)" xr10:uid="{51CFA0B3-E09D-4C78-84A3-4E50A0CD08DA}" cache="Slicer_Date__Year" caption="Date (Year)" columnCount="2" showCaption="0"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80424-3625-452E-8390-33034B46C16F}" name="Table_ExternalData_1" displayName="Table_ExternalData_1" ref="A3:M46" tableType="queryTable" totalsRowShown="0">
  <autoFilter ref="A3:M46" xr:uid="{D0880424-3625-452E-8390-33034B46C16F}"/>
  <tableColumns count="13">
    <tableColumn id="1" xr3:uid="{652812CC-6B47-45B7-A301-932FD702E10B}" uniqueName="1" name="Hospital Emergency Room Data[Patient Id]" queryTableFieldId="1"/>
    <tableColumn id="2" xr3:uid="{034848E1-7650-4C67-8970-CBA0A0665B11}" uniqueName="2" name="Hospital Emergency Room Data[Patient Admission Date]" queryTableFieldId="2" dataDxfId="17"/>
    <tableColumn id="3" xr3:uid="{B34075FE-D4FE-4393-B2AE-2CA03682157E}" uniqueName="3" name="Hospital Emergency Room Data[Patient Admission time]" queryTableFieldId="3" dataDxfId="16"/>
    <tableColumn id="4" xr3:uid="{A61CC5C2-27A9-484F-9B95-9045EDDE88B3}" uniqueName="4" name="Hospital Emergency Room Data[Patient Name]" queryTableFieldId="4"/>
    <tableColumn id="5" xr3:uid="{3C9760F3-D4B3-455C-9050-21D3273D4F32}" uniqueName="5" name="Hospital Emergency Room Data[Patient Gender]" queryTableFieldId="5"/>
    <tableColumn id="6" xr3:uid="{40B3C65F-1F97-4B2C-8B27-38A51726D661}" uniqueName="6" name="Hospital Emergency Room Data[Patient Age]" queryTableFieldId="6"/>
    <tableColumn id="7" xr3:uid="{08BA8A7A-4264-4E66-8CAD-BAE97C15CB65}" uniqueName="7" name="Hospital Emergency Room Data[Patient Race]" queryTableFieldId="7"/>
    <tableColumn id="8" xr3:uid="{BBACC504-EE31-40A1-9CD4-EF21E04985D3}" uniqueName="8" name="Hospital Emergency Room Data[Department Referral]" queryTableFieldId="8"/>
    <tableColumn id="9" xr3:uid="{3DB1E050-BB46-442B-812B-6C9F9E90D2C2}" uniqueName="9" name="Hospital Emergency Room Data[Patient Admission Flag]" queryTableFieldId="9"/>
    <tableColumn id="10" xr3:uid="{2504A65A-D0CB-4425-BCF0-6F16A02B9DA0}" uniqueName="10" name="Hospital Emergency Room Data[Patient Satisfaction Score]" queryTableFieldId="10"/>
    <tableColumn id="11" xr3:uid="{9CFF63BD-103E-43D6-BD1A-E7B15DE2CE0A}" uniqueName="11" name="Hospital Emergency Room Data[Patient Waittime]" queryTableFieldId="11"/>
    <tableColumn id="12" xr3:uid="{321CABB6-F2D0-48CC-8F7F-BB84D85271AF}" uniqueName="12" name="Hospital Emergency Room Data[Age Group]" queryTableFieldId="12"/>
    <tableColumn id="13" xr3:uid="{E1FF6B9E-7BED-499A-95E9-5B11A64BF9E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E6110B-6C07-49C8-8954-337CF659870E}" name="Table_ExternalData_13" displayName="Table_ExternalData_13" ref="A3:M143" tableType="queryTable" totalsRowShown="0">
  <autoFilter ref="A3:M143" xr:uid="{F4E6110B-6C07-49C8-8954-337CF659870E}"/>
  <tableColumns count="13">
    <tableColumn id="1" xr3:uid="{1452D8D6-3C57-47D0-B490-4493A1587BBA}" uniqueName="1" name="Hospital Emergency Room Data[Patient Id]" queryTableFieldId="1"/>
    <tableColumn id="2" xr3:uid="{3F6ADC1B-CD91-43C2-BAB5-FFFF70478B77}" uniqueName="2" name="Hospital Emergency Room Data[Patient Admission Date]" queryTableFieldId="2" dataDxfId="15"/>
    <tableColumn id="3" xr3:uid="{69E7CD26-8FB7-44D0-88A4-95276AC54127}" uniqueName="3" name="Hospital Emergency Room Data[Patient Admission time]" queryTableFieldId="3" dataDxfId="14"/>
    <tableColumn id="4" xr3:uid="{7BBD7C46-81CC-4153-A38B-2B4AD953F6D4}" uniqueName="4" name="Hospital Emergency Room Data[Patient Name]" queryTableFieldId="4"/>
    <tableColumn id="5" xr3:uid="{71B998F8-6308-45AE-939E-B6C2C0222855}" uniqueName="5" name="Hospital Emergency Room Data[Patient Gender]" queryTableFieldId="5"/>
    <tableColumn id="6" xr3:uid="{559D0E6E-EF5C-4BD6-B9C8-03C9FD06BF10}" uniqueName="6" name="Hospital Emergency Room Data[Patient Age]" queryTableFieldId="6"/>
    <tableColumn id="7" xr3:uid="{458856B5-7568-47E9-94B5-A74D0E273F46}" uniqueName="7" name="Hospital Emergency Room Data[Patient Race]" queryTableFieldId="7"/>
    <tableColumn id="8" xr3:uid="{DF3B62A2-B2F8-4AF3-8FAB-924DADB296B1}" uniqueName="8" name="Hospital Emergency Room Data[Department Referral]" queryTableFieldId="8"/>
    <tableColumn id="9" xr3:uid="{86970480-85DF-475D-9170-F1B7E5B5EF0D}" uniqueName="9" name="Hospital Emergency Room Data[Patient Admission Flag]" queryTableFieldId="9"/>
    <tableColumn id="10" xr3:uid="{72A1397B-1E77-437E-8946-3414A2D62A49}" uniqueName="10" name="Hospital Emergency Room Data[Patient Satisfaction Score]" queryTableFieldId="10"/>
    <tableColumn id="11" xr3:uid="{7E823C4B-2972-4749-9FA7-855B39601255}" uniqueName="11" name="Hospital Emergency Room Data[Patient Waittime]" queryTableFieldId="11"/>
    <tableColumn id="12" xr3:uid="{9B7C2870-F749-4301-8520-443EB1A76E12}" uniqueName="12" name="Hospital Emergency Room Data[Age Group]" queryTableFieldId="12"/>
    <tableColumn id="13" xr3:uid="{CDE37993-E6AC-4DE5-95B9-491EEBD7E931}"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54B2-502D-4C46-8FEC-1E6F786F8F2B}">
  <dimension ref="A1:M46"/>
  <sheetViews>
    <sheetView tabSelected="1" zoomScale="85" zoomScaleNormal="85" workbookViewId="0"/>
  </sheetViews>
  <sheetFormatPr defaultRowHeight="14.4" x14ac:dyDescent="0.3"/>
  <cols>
    <col min="1" max="1" width="21.109375" customWidth="1"/>
    <col min="2" max="2" width="20.109375" customWidth="1"/>
    <col min="3" max="3" width="26.6640625" customWidth="1"/>
    <col min="4" max="4" width="19.5546875" customWidth="1"/>
    <col min="5" max="5" width="22.88671875" customWidth="1"/>
    <col min="6" max="6" width="19.88671875" customWidth="1"/>
    <col min="7" max="7" width="31.77734375" customWidth="1"/>
    <col min="8" max="8" width="27" customWidth="1"/>
    <col min="9" max="9" width="29.33203125" customWidth="1"/>
    <col min="10" max="10" width="24.77734375" customWidth="1"/>
    <col min="11" max="11" width="29.33203125" customWidth="1"/>
    <col min="12" max="12" width="28.77734375" customWidth="1"/>
    <col min="13" max="13" width="33.77734375" customWidth="1"/>
  </cols>
  <sheetData>
    <row r="1" spans="1:13" x14ac:dyDescent="0.3">
      <c r="A1" s="7" t="s">
        <v>165</v>
      </c>
    </row>
    <row r="3" spans="1:13" x14ac:dyDescent="0.3">
      <c r="A3" t="s">
        <v>38</v>
      </c>
      <c r="B3" t="s">
        <v>39</v>
      </c>
      <c r="C3" t="s">
        <v>40</v>
      </c>
      <c r="D3" t="s">
        <v>41</v>
      </c>
      <c r="E3" t="s">
        <v>42</v>
      </c>
      <c r="F3" t="s">
        <v>43</v>
      </c>
      <c r="G3" t="s">
        <v>44</v>
      </c>
      <c r="H3" t="s">
        <v>45</v>
      </c>
      <c r="I3" t="s">
        <v>46</v>
      </c>
      <c r="J3" t="s">
        <v>47</v>
      </c>
      <c r="K3" t="s">
        <v>48</v>
      </c>
      <c r="L3" t="s">
        <v>49</v>
      </c>
      <c r="M3" t="s">
        <v>50</v>
      </c>
    </row>
    <row r="4" spans="1:13" x14ac:dyDescent="0.3">
      <c r="A4" t="s">
        <v>51</v>
      </c>
      <c r="B4" s="5">
        <v>45078</v>
      </c>
      <c r="C4" s="6">
        <v>0.10902777777777778</v>
      </c>
      <c r="D4" t="s">
        <v>52</v>
      </c>
      <c r="E4" t="s">
        <v>53</v>
      </c>
      <c r="F4">
        <v>26</v>
      </c>
      <c r="G4" t="s">
        <v>54</v>
      </c>
      <c r="H4" t="s">
        <v>55</v>
      </c>
      <c r="I4" t="s">
        <v>56</v>
      </c>
      <c r="K4">
        <v>56</v>
      </c>
      <c r="L4" t="s">
        <v>57</v>
      </c>
      <c r="M4" t="s">
        <v>58</v>
      </c>
    </row>
    <row r="5" spans="1:13" x14ac:dyDescent="0.3">
      <c r="A5" t="s">
        <v>59</v>
      </c>
      <c r="B5" s="5">
        <v>45078</v>
      </c>
      <c r="C5" s="6">
        <v>0.13333333333333333</v>
      </c>
      <c r="D5" t="s">
        <v>60</v>
      </c>
      <c r="E5" t="s">
        <v>61</v>
      </c>
      <c r="F5">
        <v>36</v>
      </c>
      <c r="G5" t="s">
        <v>54</v>
      </c>
      <c r="H5" t="s">
        <v>55</v>
      </c>
      <c r="I5" t="s">
        <v>62</v>
      </c>
      <c r="K5">
        <v>37</v>
      </c>
      <c r="L5" t="s">
        <v>63</v>
      </c>
      <c r="M5" t="s">
        <v>58</v>
      </c>
    </row>
    <row r="6" spans="1:13" x14ac:dyDescent="0.3">
      <c r="A6" t="s">
        <v>64</v>
      </c>
      <c r="B6" s="5">
        <v>45444</v>
      </c>
      <c r="C6" s="6">
        <v>0.15763888888888888</v>
      </c>
      <c r="D6" t="s">
        <v>65</v>
      </c>
      <c r="E6" t="s">
        <v>53</v>
      </c>
      <c r="F6">
        <v>22</v>
      </c>
      <c r="G6" t="s">
        <v>66</v>
      </c>
      <c r="H6" t="s">
        <v>55</v>
      </c>
      <c r="I6" t="s">
        <v>56</v>
      </c>
      <c r="K6">
        <v>41</v>
      </c>
      <c r="L6" t="s">
        <v>57</v>
      </c>
      <c r="M6" t="s">
        <v>58</v>
      </c>
    </row>
    <row r="7" spans="1:13" x14ac:dyDescent="0.3">
      <c r="A7" t="s">
        <v>67</v>
      </c>
      <c r="B7" s="5">
        <v>45078</v>
      </c>
      <c r="C7" s="6">
        <v>3.7499999999999999E-2</v>
      </c>
      <c r="D7" t="s">
        <v>68</v>
      </c>
      <c r="E7" t="s">
        <v>61</v>
      </c>
      <c r="F7">
        <v>39</v>
      </c>
      <c r="G7" t="s">
        <v>66</v>
      </c>
      <c r="H7" t="s">
        <v>55</v>
      </c>
      <c r="I7" t="s">
        <v>56</v>
      </c>
      <c r="K7">
        <v>12</v>
      </c>
      <c r="L7" t="s">
        <v>63</v>
      </c>
      <c r="M7" t="s">
        <v>69</v>
      </c>
    </row>
    <row r="8" spans="1:13" x14ac:dyDescent="0.3">
      <c r="A8" t="s">
        <v>70</v>
      </c>
      <c r="B8" s="5">
        <v>45444</v>
      </c>
      <c r="C8" s="6">
        <v>0.60763888888888884</v>
      </c>
      <c r="D8" t="s">
        <v>71</v>
      </c>
      <c r="E8" t="s">
        <v>53</v>
      </c>
      <c r="F8">
        <v>19</v>
      </c>
      <c r="G8" t="s">
        <v>72</v>
      </c>
      <c r="H8" t="s">
        <v>55</v>
      </c>
      <c r="I8" t="s">
        <v>62</v>
      </c>
      <c r="K8">
        <v>47</v>
      </c>
      <c r="L8" t="s">
        <v>73</v>
      </c>
      <c r="M8" t="s">
        <v>58</v>
      </c>
    </row>
    <row r="9" spans="1:13" x14ac:dyDescent="0.3">
      <c r="A9" t="s">
        <v>74</v>
      </c>
      <c r="B9" s="5">
        <v>45078</v>
      </c>
      <c r="C9" s="6">
        <v>0.8833333333333333</v>
      </c>
      <c r="D9" t="s">
        <v>75</v>
      </c>
      <c r="E9" t="s">
        <v>61</v>
      </c>
      <c r="F9">
        <v>18</v>
      </c>
      <c r="G9" t="s">
        <v>72</v>
      </c>
      <c r="H9" t="s">
        <v>55</v>
      </c>
      <c r="I9" t="s">
        <v>62</v>
      </c>
      <c r="K9">
        <v>39</v>
      </c>
      <c r="L9" t="s">
        <v>73</v>
      </c>
      <c r="M9" t="s">
        <v>58</v>
      </c>
    </row>
    <row r="10" spans="1:13" x14ac:dyDescent="0.3">
      <c r="A10" t="s">
        <v>76</v>
      </c>
      <c r="B10" s="5">
        <v>45078</v>
      </c>
      <c r="C10" s="6">
        <v>0.39861111111111114</v>
      </c>
      <c r="D10" t="s">
        <v>77</v>
      </c>
      <c r="E10" t="s">
        <v>61</v>
      </c>
      <c r="F10">
        <v>3</v>
      </c>
      <c r="G10" t="s">
        <v>72</v>
      </c>
      <c r="H10" t="s">
        <v>55</v>
      </c>
      <c r="I10" t="s">
        <v>62</v>
      </c>
      <c r="K10">
        <v>43</v>
      </c>
      <c r="L10" t="s">
        <v>78</v>
      </c>
      <c r="M10" t="s">
        <v>58</v>
      </c>
    </row>
    <row r="11" spans="1:13" x14ac:dyDescent="0.3">
      <c r="A11" t="s">
        <v>79</v>
      </c>
      <c r="B11" s="5">
        <v>45444</v>
      </c>
      <c r="C11" s="6">
        <v>0.32430555555555557</v>
      </c>
      <c r="D11" t="s">
        <v>80</v>
      </c>
      <c r="E11" t="s">
        <v>61</v>
      </c>
      <c r="F11">
        <v>9</v>
      </c>
      <c r="G11" t="s">
        <v>72</v>
      </c>
      <c r="H11" t="s">
        <v>55</v>
      </c>
      <c r="I11" t="s">
        <v>62</v>
      </c>
      <c r="K11">
        <v>54</v>
      </c>
      <c r="L11" t="s">
        <v>78</v>
      </c>
      <c r="M11" t="s">
        <v>58</v>
      </c>
    </row>
    <row r="12" spans="1:13" x14ac:dyDescent="0.3">
      <c r="A12" t="s">
        <v>81</v>
      </c>
      <c r="B12" s="5">
        <v>45078</v>
      </c>
      <c r="C12" s="6">
        <v>0.73124999999999996</v>
      </c>
      <c r="D12" t="s">
        <v>82</v>
      </c>
      <c r="E12" t="s">
        <v>61</v>
      </c>
      <c r="F12">
        <v>73</v>
      </c>
      <c r="G12" t="s">
        <v>83</v>
      </c>
      <c r="H12" t="s">
        <v>55</v>
      </c>
      <c r="I12" t="s">
        <v>56</v>
      </c>
      <c r="K12">
        <v>18</v>
      </c>
      <c r="L12" t="s">
        <v>84</v>
      </c>
      <c r="M12" t="s">
        <v>69</v>
      </c>
    </row>
    <row r="13" spans="1:13" x14ac:dyDescent="0.3">
      <c r="A13" t="s">
        <v>85</v>
      </c>
      <c r="B13" s="5">
        <v>45444</v>
      </c>
      <c r="C13" s="6">
        <v>0.47986111111111113</v>
      </c>
      <c r="D13" t="s">
        <v>86</v>
      </c>
      <c r="E13" t="s">
        <v>53</v>
      </c>
      <c r="F13">
        <v>18</v>
      </c>
      <c r="G13" t="s">
        <v>83</v>
      </c>
      <c r="H13" t="s">
        <v>55</v>
      </c>
      <c r="I13" t="s">
        <v>56</v>
      </c>
      <c r="K13">
        <v>17</v>
      </c>
      <c r="L13" t="s">
        <v>73</v>
      </c>
      <c r="M13" t="s">
        <v>69</v>
      </c>
    </row>
    <row r="14" spans="1:13" x14ac:dyDescent="0.3">
      <c r="A14" t="s">
        <v>87</v>
      </c>
      <c r="B14" s="5">
        <v>45444</v>
      </c>
      <c r="C14" s="6">
        <v>0.25694444444444442</v>
      </c>
      <c r="D14" t="s">
        <v>88</v>
      </c>
      <c r="E14" t="s">
        <v>53</v>
      </c>
      <c r="F14">
        <v>79</v>
      </c>
      <c r="G14" t="s">
        <v>83</v>
      </c>
      <c r="H14" t="s">
        <v>55</v>
      </c>
      <c r="I14" t="s">
        <v>62</v>
      </c>
      <c r="K14">
        <v>37</v>
      </c>
      <c r="L14" t="s">
        <v>84</v>
      </c>
      <c r="M14" t="s">
        <v>58</v>
      </c>
    </row>
    <row r="15" spans="1:13" x14ac:dyDescent="0.3">
      <c r="A15" t="s">
        <v>89</v>
      </c>
      <c r="B15" s="5">
        <v>45444</v>
      </c>
      <c r="C15" s="6">
        <v>0.93472222222222223</v>
      </c>
      <c r="D15" t="s">
        <v>90</v>
      </c>
      <c r="E15" t="s">
        <v>53</v>
      </c>
      <c r="F15">
        <v>43</v>
      </c>
      <c r="G15" t="s">
        <v>83</v>
      </c>
      <c r="H15" t="s">
        <v>55</v>
      </c>
      <c r="I15" t="s">
        <v>62</v>
      </c>
      <c r="K15">
        <v>25</v>
      </c>
      <c r="L15" t="s">
        <v>91</v>
      </c>
      <c r="M15" t="s">
        <v>69</v>
      </c>
    </row>
    <row r="16" spans="1:13" x14ac:dyDescent="0.3">
      <c r="A16" t="s">
        <v>92</v>
      </c>
      <c r="B16" s="5">
        <v>45444</v>
      </c>
      <c r="C16" s="6">
        <v>0.64861111111111114</v>
      </c>
      <c r="D16" t="s">
        <v>93</v>
      </c>
      <c r="E16" t="s">
        <v>61</v>
      </c>
      <c r="F16">
        <v>4</v>
      </c>
      <c r="G16" t="s">
        <v>83</v>
      </c>
      <c r="H16" t="s">
        <v>55</v>
      </c>
      <c r="I16" t="s">
        <v>62</v>
      </c>
      <c r="K16">
        <v>16</v>
      </c>
      <c r="L16" t="s">
        <v>78</v>
      </c>
      <c r="M16" t="s">
        <v>69</v>
      </c>
    </row>
    <row r="17" spans="1:13" x14ac:dyDescent="0.3">
      <c r="A17" t="s">
        <v>94</v>
      </c>
      <c r="B17" s="5">
        <v>45078</v>
      </c>
      <c r="C17" s="6">
        <v>0.73333333333333328</v>
      </c>
      <c r="D17" t="s">
        <v>95</v>
      </c>
      <c r="E17" t="s">
        <v>61</v>
      </c>
      <c r="F17">
        <v>23</v>
      </c>
      <c r="G17" t="s">
        <v>96</v>
      </c>
      <c r="H17" t="s">
        <v>55</v>
      </c>
      <c r="I17" t="s">
        <v>62</v>
      </c>
      <c r="K17">
        <v>57</v>
      </c>
      <c r="L17" t="s">
        <v>57</v>
      </c>
      <c r="M17" t="s">
        <v>58</v>
      </c>
    </row>
    <row r="18" spans="1:13" x14ac:dyDescent="0.3">
      <c r="A18" t="s">
        <v>97</v>
      </c>
      <c r="B18" s="5">
        <v>45078</v>
      </c>
      <c r="C18" s="6">
        <v>0.42291666666666666</v>
      </c>
      <c r="D18" t="s">
        <v>98</v>
      </c>
      <c r="E18" t="s">
        <v>61</v>
      </c>
      <c r="F18">
        <v>8</v>
      </c>
      <c r="G18" t="s">
        <v>96</v>
      </c>
      <c r="H18" t="s">
        <v>55</v>
      </c>
      <c r="I18" t="s">
        <v>62</v>
      </c>
      <c r="K18">
        <v>54</v>
      </c>
      <c r="L18" t="s">
        <v>78</v>
      </c>
      <c r="M18" t="s">
        <v>58</v>
      </c>
    </row>
    <row r="19" spans="1:13" x14ac:dyDescent="0.3">
      <c r="A19" t="s">
        <v>99</v>
      </c>
      <c r="B19" s="5">
        <v>45078</v>
      </c>
      <c r="C19" s="6">
        <v>0.74444444444444446</v>
      </c>
      <c r="D19" t="s">
        <v>100</v>
      </c>
      <c r="E19" t="s">
        <v>61</v>
      </c>
      <c r="F19">
        <v>54</v>
      </c>
      <c r="G19" t="s">
        <v>96</v>
      </c>
      <c r="H19" t="s">
        <v>55</v>
      </c>
      <c r="I19" t="s">
        <v>62</v>
      </c>
      <c r="K19">
        <v>11</v>
      </c>
      <c r="L19" t="s">
        <v>101</v>
      </c>
      <c r="M19" t="s">
        <v>69</v>
      </c>
    </row>
    <row r="20" spans="1:13" x14ac:dyDescent="0.3">
      <c r="A20" t="s">
        <v>102</v>
      </c>
      <c r="B20" s="5">
        <v>45444</v>
      </c>
      <c r="C20" s="6">
        <v>0.44027777777777777</v>
      </c>
      <c r="D20" t="s">
        <v>103</v>
      </c>
      <c r="E20" t="s">
        <v>61</v>
      </c>
      <c r="F20">
        <v>48</v>
      </c>
      <c r="G20" t="s">
        <v>96</v>
      </c>
      <c r="H20" t="s">
        <v>55</v>
      </c>
      <c r="I20" t="s">
        <v>62</v>
      </c>
      <c r="K20">
        <v>35</v>
      </c>
      <c r="L20" t="s">
        <v>91</v>
      </c>
      <c r="M20" t="s">
        <v>58</v>
      </c>
    </row>
    <row r="21" spans="1:13" x14ac:dyDescent="0.3">
      <c r="A21" t="s">
        <v>104</v>
      </c>
      <c r="B21" s="5">
        <v>45444</v>
      </c>
      <c r="C21" s="6">
        <v>5.347222222222222E-2</v>
      </c>
      <c r="D21" t="s">
        <v>105</v>
      </c>
      <c r="E21" t="s">
        <v>61</v>
      </c>
      <c r="F21">
        <v>11</v>
      </c>
      <c r="G21" t="s">
        <v>96</v>
      </c>
      <c r="H21" t="s">
        <v>55</v>
      </c>
      <c r="I21" t="s">
        <v>56</v>
      </c>
      <c r="K21">
        <v>19</v>
      </c>
      <c r="L21" t="s">
        <v>73</v>
      </c>
      <c r="M21" t="s">
        <v>69</v>
      </c>
    </row>
    <row r="22" spans="1:13" x14ac:dyDescent="0.3">
      <c r="A22" t="s">
        <v>106</v>
      </c>
      <c r="B22" s="5">
        <v>45078</v>
      </c>
      <c r="C22" s="6">
        <v>0.55763888888888891</v>
      </c>
      <c r="D22" t="s">
        <v>107</v>
      </c>
      <c r="E22" t="s">
        <v>61</v>
      </c>
      <c r="F22">
        <v>67</v>
      </c>
      <c r="G22" t="s">
        <v>108</v>
      </c>
      <c r="H22" t="s">
        <v>55</v>
      </c>
      <c r="I22" t="s">
        <v>62</v>
      </c>
      <c r="K22">
        <v>39</v>
      </c>
      <c r="L22" t="s">
        <v>109</v>
      </c>
      <c r="M22" t="s">
        <v>58</v>
      </c>
    </row>
    <row r="23" spans="1:13" x14ac:dyDescent="0.3">
      <c r="A23" t="s">
        <v>110</v>
      </c>
      <c r="B23" s="5">
        <v>45078</v>
      </c>
      <c r="C23" s="6">
        <v>0.32500000000000001</v>
      </c>
      <c r="D23" t="s">
        <v>111</v>
      </c>
      <c r="E23" t="s">
        <v>61</v>
      </c>
      <c r="F23">
        <v>30</v>
      </c>
      <c r="G23" t="s">
        <v>108</v>
      </c>
      <c r="H23" t="s">
        <v>55</v>
      </c>
      <c r="I23" t="s">
        <v>56</v>
      </c>
      <c r="K23">
        <v>19</v>
      </c>
      <c r="L23" t="s">
        <v>57</v>
      </c>
      <c r="M23" t="s">
        <v>69</v>
      </c>
    </row>
    <row r="24" spans="1:13" x14ac:dyDescent="0.3">
      <c r="A24" t="s">
        <v>112</v>
      </c>
      <c r="B24" s="5">
        <v>45078</v>
      </c>
      <c r="C24" s="6">
        <v>3.9583333333333331E-2</v>
      </c>
      <c r="D24" t="s">
        <v>113</v>
      </c>
      <c r="E24" t="s">
        <v>61</v>
      </c>
      <c r="F24">
        <v>7</v>
      </c>
      <c r="G24" t="s">
        <v>114</v>
      </c>
      <c r="H24" t="s">
        <v>55</v>
      </c>
      <c r="I24" t="s">
        <v>56</v>
      </c>
      <c r="K24">
        <v>30</v>
      </c>
      <c r="L24" t="s">
        <v>78</v>
      </c>
      <c r="M24" t="s">
        <v>69</v>
      </c>
    </row>
    <row r="25" spans="1:13" x14ac:dyDescent="0.3">
      <c r="A25" t="s">
        <v>115</v>
      </c>
      <c r="B25" s="5">
        <v>45444</v>
      </c>
      <c r="C25" s="6">
        <v>0.89027777777777772</v>
      </c>
      <c r="D25" t="s">
        <v>116</v>
      </c>
      <c r="E25" t="s">
        <v>61</v>
      </c>
      <c r="F25">
        <v>49</v>
      </c>
      <c r="G25" t="s">
        <v>114</v>
      </c>
      <c r="H25" t="s">
        <v>55</v>
      </c>
      <c r="I25" t="s">
        <v>56</v>
      </c>
      <c r="K25">
        <v>16</v>
      </c>
      <c r="L25" t="s">
        <v>91</v>
      </c>
      <c r="M25" t="s">
        <v>69</v>
      </c>
    </row>
    <row r="26" spans="1:13" x14ac:dyDescent="0.3">
      <c r="A26" t="s">
        <v>117</v>
      </c>
      <c r="B26" s="5">
        <v>45078</v>
      </c>
      <c r="C26" s="6">
        <v>0.48333333333333334</v>
      </c>
      <c r="D26" t="s">
        <v>118</v>
      </c>
      <c r="E26" t="s">
        <v>61</v>
      </c>
      <c r="F26">
        <v>40</v>
      </c>
      <c r="G26" t="s">
        <v>114</v>
      </c>
      <c r="H26" t="s">
        <v>119</v>
      </c>
      <c r="I26" t="s">
        <v>56</v>
      </c>
      <c r="K26">
        <v>41</v>
      </c>
      <c r="L26" t="s">
        <v>63</v>
      </c>
      <c r="M26" t="s">
        <v>58</v>
      </c>
    </row>
    <row r="27" spans="1:13" x14ac:dyDescent="0.3">
      <c r="A27" t="s">
        <v>120</v>
      </c>
      <c r="B27" s="5">
        <v>45078</v>
      </c>
      <c r="C27" s="6">
        <v>0.4548611111111111</v>
      </c>
      <c r="D27" t="s">
        <v>121</v>
      </c>
      <c r="E27" t="s">
        <v>53</v>
      </c>
      <c r="F27">
        <v>63</v>
      </c>
      <c r="G27" t="s">
        <v>96</v>
      </c>
      <c r="H27" t="s">
        <v>119</v>
      </c>
      <c r="I27" t="s">
        <v>56</v>
      </c>
      <c r="K27">
        <v>41</v>
      </c>
      <c r="L27" t="s">
        <v>109</v>
      </c>
      <c r="M27" t="s">
        <v>58</v>
      </c>
    </row>
    <row r="28" spans="1:13" x14ac:dyDescent="0.3">
      <c r="A28" t="s">
        <v>122</v>
      </c>
      <c r="B28" s="5">
        <v>45078</v>
      </c>
      <c r="C28" s="6">
        <v>0.55833333333333335</v>
      </c>
      <c r="D28" t="s">
        <v>123</v>
      </c>
      <c r="E28" t="s">
        <v>61</v>
      </c>
      <c r="F28">
        <v>67</v>
      </c>
      <c r="G28" t="s">
        <v>66</v>
      </c>
      <c r="H28" t="s">
        <v>119</v>
      </c>
      <c r="I28" t="s">
        <v>56</v>
      </c>
      <c r="K28">
        <v>17</v>
      </c>
      <c r="L28" t="s">
        <v>109</v>
      </c>
      <c r="M28" t="s">
        <v>69</v>
      </c>
    </row>
    <row r="29" spans="1:13" x14ac:dyDescent="0.3">
      <c r="A29" t="s">
        <v>124</v>
      </c>
      <c r="B29" s="5">
        <v>45078</v>
      </c>
      <c r="C29" s="6">
        <v>0.36249999999999999</v>
      </c>
      <c r="D29" t="s">
        <v>125</v>
      </c>
      <c r="E29" t="s">
        <v>61</v>
      </c>
      <c r="F29">
        <v>66</v>
      </c>
      <c r="G29" t="s">
        <v>54</v>
      </c>
      <c r="H29" t="s">
        <v>119</v>
      </c>
      <c r="I29" t="s">
        <v>56</v>
      </c>
      <c r="K29">
        <v>31</v>
      </c>
      <c r="L29" t="s">
        <v>109</v>
      </c>
      <c r="M29" t="s">
        <v>58</v>
      </c>
    </row>
    <row r="30" spans="1:13" x14ac:dyDescent="0.3">
      <c r="A30" t="s">
        <v>126</v>
      </c>
      <c r="B30" s="5">
        <v>45078</v>
      </c>
      <c r="C30" s="6">
        <v>0.93333333333333335</v>
      </c>
      <c r="D30" t="s">
        <v>127</v>
      </c>
      <c r="E30" t="s">
        <v>53</v>
      </c>
      <c r="F30">
        <v>27</v>
      </c>
      <c r="G30" t="s">
        <v>54</v>
      </c>
      <c r="H30" t="s">
        <v>119</v>
      </c>
      <c r="I30" t="s">
        <v>62</v>
      </c>
      <c r="K30">
        <v>46</v>
      </c>
      <c r="L30" t="s">
        <v>57</v>
      </c>
      <c r="M30" t="s">
        <v>58</v>
      </c>
    </row>
    <row r="31" spans="1:13" x14ac:dyDescent="0.3">
      <c r="A31" t="s">
        <v>128</v>
      </c>
      <c r="B31" s="5">
        <v>45078</v>
      </c>
      <c r="C31" s="6">
        <v>0.77152777777777781</v>
      </c>
      <c r="D31" t="s">
        <v>129</v>
      </c>
      <c r="E31" t="s">
        <v>53</v>
      </c>
      <c r="F31">
        <v>79</v>
      </c>
      <c r="G31" t="s">
        <v>54</v>
      </c>
      <c r="H31" t="s">
        <v>119</v>
      </c>
      <c r="I31" t="s">
        <v>62</v>
      </c>
      <c r="K31">
        <v>44</v>
      </c>
      <c r="L31" t="s">
        <v>84</v>
      </c>
      <c r="M31" t="s">
        <v>58</v>
      </c>
    </row>
    <row r="32" spans="1:13" x14ac:dyDescent="0.3">
      <c r="A32" t="s">
        <v>130</v>
      </c>
      <c r="B32" s="5">
        <v>45078</v>
      </c>
      <c r="C32" s="6">
        <v>0.82361111111111107</v>
      </c>
      <c r="D32" t="s">
        <v>131</v>
      </c>
      <c r="E32" t="s">
        <v>53</v>
      </c>
      <c r="F32">
        <v>60</v>
      </c>
      <c r="G32" t="s">
        <v>66</v>
      </c>
      <c r="H32" t="s">
        <v>132</v>
      </c>
      <c r="I32" t="s">
        <v>62</v>
      </c>
      <c r="K32">
        <v>58</v>
      </c>
      <c r="L32" t="s">
        <v>101</v>
      </c>
      <c r="M32" t="s">
        <v>58</v>
      </c>
    </row>
    <row r="33" spans="1:13" x14ac:dyDescent="0.3">
      <c r="A33" t="s">
        <v>133</v>
      </c>
      <c r="B33" s="5">
        <v>45444</v>
      </c>
      <c r="C33" s="6">
        <v>0.24861111111111112</v>
      </c>
      <c r="D33" t="s">
        <v>134</v>
      </c>
      <c r="E33" t="s">
        <v>53</v>
      </c>
      <c r="F33">
        <v>38</v>
      </c>
      <c r="G33" t="s">
        <v>72</v>
      </c>
      <c r="H33" t="s">
        <v>132</v>
      </c>
      <c r="I33" t="s">
        <v>62</v>
      </c>
      <c r="K33">
        <v>56</v>
      </c>
      <c r="L33" t="s">
        <v>63</v>
      </c>
      <c r="M33" t="s">
        <v>58</v>
      </c>
    </row>
    <row r="34" spans="1:13" x14ac:dyDescent="0.3">
      <c r="A34" t="s">
        <v>135</v>
      </c>
      <c r="B34" s="5">
        <v>45444</v>
      </c>
      <c r="C34" s="6">
        <v>0.76180555555555551</v>
      </c>
      <c r="D34" t="s">
        <v>136</v>
      </c>
      <c r="E34" t="s">
        <v>53</v>
      </c>
      <c r="F34">
        <v>24</v>
      </c>
      <c r="G34" t="s">
        <v>83</v>
      </c>
      <c r="H34" t="s">
        <v>132</v>
      </c>
      <c r="I34" t="s">
        <v>56</v>
      </c>
      <c r="K34">
        <v>48</v>
      </c>
      <c r="L34" t="s">
        <v>57</v>
      </c>
      <c r="M34" t="s">
        <v>58</v>
      </c>
    </row>
    <row r="35" spans="1:13" x14ac:dyDescent="0.3">
      <c r="A35" t="s">
        <v>137</v>
      </c>
      <c r="B35" s="5">
        <v>45444</v>
      </c>
      <c r="C35" s="6">
        <v>0.15763888888888888</v>
      </c>
      <c r="D35" t="s">
        <v>138</v>
      </c>
      <c r="E35" t="s">
        <v>61</v>
      </c>
      <c r="F35">
        <v>10</v>
      </c>
      <c r="G35" t="s">
        <v>96</v>
      </c>
      <c r="H35" t="s">
        <v>132</v>
      </c>
      <c r="I35" t="s">
        <v>56</v>
      </c>
      <c r="K35">
        <v>15</v>
      </c>
      <c r="L35" t="s">
        <v>78</v>
      </c>
      <c r="M35" t="s">
        <v>69</v>
      </c>
    </row>
    <row r="36" spans="1:13" x14ac:dyDescent="0.3">
      <c r="A36" t="s">
        <v>139</v>
      </c>
      <c r="B36" s="5">
        <v>45078</v>
      </c>
      <c r="C36" s="6">
        <v>0.88888888888888884</v>
      </c>
      <c r="D36" t="s">
        <v>140</v>
      </c>
      <c r="E36" t="s">
        <v>61</v>
      </c>
      <c r="F36">
        <v>4</v>
      </c>
      <c r="G36" t="s">
        <v>66</v>
      </c>
      <c r="H36" t="s">
        <v>141</v>
      </c>
      <c r="I36" t="s">
        <v>56</v>
      </c>
      <c r="K36">
        <v>32</v>
      </c>
      <c r="L36" t="s">
        <v>78</v>
      </c>
      <c r="M36" t="s">
        <v>58</v>
      </c>
    </row>
    <row r="37" spans="1:13" x14ac:dyDescent="0.3">
      <c r="A37" t="s">
        <v>142</v>
      </c>
      <c r="B37" s="5">
        <v>45078</v>
      </c>
      <c r="C37" s="6">
        <v>0.39166666666666666</v>
      </c>
      <c r="D37" t="s">
        <v>143</v>
      </c>
      <c r="E37" t="s">
        <v>53</v>
      </c>
      <c r="F37">
        <v>23</v>
      </c>
      <c r="G37" t="s">
        <v>72</v>
      </c>
      <c r="H37" t="s">
        <v>144</v>
      </c>
      <c r="I37" t="s">
        <v>56</v>
      </c>
      <c r="K37">
        <v>23</v>
      </c>
      <c r="L37" t="s">
        <v>57</v>
      </c>
      <c r="M37" t="s">
        <v>69</v>
      </c>
    </row>
    <row r="38" spans="1:13" x14ac:dyDescent="0.3">
      <c r="A38" t="s">
        <v>145</v>
      </c>
      <c r="B38" s="5">
        <v>45078</v>
      </c>
      <c r="C38" s="6">
        <v>0.47499999999999998</v>
      </c>
      <c r="D38" t="s">
        <v>146</v>
      </c>
      <c r="E38" t="s">
        <v>53</v>
      </c>
      <c r="F38">
        <v>65</v>
      </c>
      <c r="G38" t="s">
        <v>108</v>
      </c>
      <c r="H38" t="s">
        <v>147</v>
      </c>
      <c r="I38" t="s">
        <v>62</v>
      </c>
      <c r="J38">
        <v>10</v>
      </c>
      <c r="K38">
        <v>53</v>
      </c>
      <c r="L38" t="s">
        <v>109</v>
      </c>
      <c r="M38" t="s">
        <v>58</v>
      </c>
    </row>
    <row r="39" spans="1:13" x14ac:dyDescent="0.3">
      <c r="A39" t="s">
        <v>148</v>
      </c>
      <c r="B39" s="5">
        <v>45444</v>
      </c>
      <c r="C39" s="6">
        <v>0.26319444444444445</v>
      </c>
      <c r="D39" t="s">
        <v>149</v>
      </c>
      <c r="E39" t="s">
        <v>53</v>
      </c>
      <c r="F39">
        <v>36</v>
      </c>
      <c r="G39" t="s">
        <v>83</v>
      </c>
      <c r="H39" t="s">
        <v>144</v>
      </c>
      <c r="I39" t="s">
        <v>62</v>
      </c>
      <c r="J39">
        <v>5</v>
      </c>
      <c r="K39">
        <v>15</v>
      </c>
      <c r="L39" t="s">
        <v>63</v>
      </c>
      <c r="M39" t="s">
        <v>69</v>
      </c>
    </row>
    <row r="40" spans="1:13" x14ac:dyDescent="0.3">
      <c r="A40" t="s">
        <v>150</v>
      </c>
      <c r="B40" s="5">
        <v>45078</v>
      </c>
      <c r="C40" s="6">
        <v>0.97986111111111107</v>
      </c>
      <c r="D40" t="s">
        <v>151</v>
      </c>
      <c r="E40" t="s">
        <v>53</v>
      </c>
      <c r="F40">
        <v>23</v>
      </c>
      <c r="G40" t="s">
        <v>54</v>
      </c>
      <c r="H40" t="s">
        <v>152</v>
      </c>
      <c r="I40" t="s">
        <v>62</v>
      </c>
      <c r="J40">
        <v>2</v>
      </c>
      <c r="K40">
        <v>42</v>
      </c>
      <c r="L40" t="s">
        <v>57</v>
      </c>
      <c r="M40" t="s">
        <v>58</v>
      </c>
    </row>
    <row r="41" spans="1:13" x14ac:dyDescent="0.3">
      <c r="A41" t="s">
        <v>153</v>
      </c>
      <c r="B41" s="5">
        <v>45444</v>
      </c>
      <c r="C41" s="6">
        <v>0.82499999999999996</v>
      </c>
      <c r="D41" t="s">
        <v>154</v>
      </c>
      <c r="E41" t="s">
        <v>61</v>
      </c>
      <c r="F41">
        <v>2</v>
      </c>
      <c r="G41" t="s">
        <v>96</v>
      </c>
      <c r="H41" t="s">
        <v>132</v>
      </c>
      <c r="I41" t="s">
        <v>56</v>
      </c>
      <c r="J41">
        <v>4</v>
      </c>
      <c r="K41">
        <v>51</v>
      </c>
      <c r="L41" t="s">
        <v>78</v>
      </c>
      <c r="M41" t="s">
        <v>58</v>
      </c>
    </row>
    <row r="42" spans="1:13" x14ac:dyDescent="0.3">
      <c r="A42" t="s">
        <v>155</v>
      </c>
      <c r="B42" s="5">
        <v>45444</v>
      </c>
      <c r="C42" s="6">
        <v>2.7777777777777776E-2</v>
      </c>
      <c r="D42" t="s">
        <v>156</v>
      </c>
      <c r="E42" t="s">
        <v>61</v>
      </c>
      <c r="F42">
        <v>71</v>
      </c>
      <c r="G42" t="s">
        <v>54</v>
      </c>
      <c r="H42" t="s">
        <v>132</v>
      </c>
      <c r="I42" t="s">
        <v>62</v>
      </c>
      <c r="J42">
        <v>0</v>
      </c>
      <c r="K42">
        <v>53</v>
      </c>
      <c r="L42" t="s">
        <v>84</v>
      </c>
      <c r="M42" t="s">
        <v>58</v>
      </c>
    </row>
    <row r="43" spans="1:13" x14ac:dyDescent="0.3">
      <c r="A43" t="s">
        <v>157</v>
      </c>
      <c r="B43" s="5">
        <v>45078</v>
      </c>
      <c r="C43" s="6">
        <v>0.65486111111111112</v>
      </c>
      <c r="D43" t="s">
        <v>158</v>
      </c>
      <c r="E43" t="s">
        <v>61</v>
      </c>
      <c r="F43">
        <v>56</v>
      </c>
      <c r="G43" t="s">
        <v>96</v>
      </c>
      <c r="H43" t="s">
        <v>55</v>
      </c>
      <c r="I43" t="s">
        <v>62</v>
      </c>
      <c r="J43">
        <v>8</v>
      </c>
      <c r="K43">
        <v>17</v>
      </c>
      <c r="L43" t="s">
        <v>101</v>
      </c>
      <c r="M43" t="s">
        <v>69</v>
      </c>
    </row>
    <row r="44" spans="1:13" x14ac:dyDescent="0.3">
      <c r="A44" t="s">
        <v>159</v>
      </c>
      <c r="B44" s="5">
        <v>45078</v>
      </c>
      <c r="C44" s="6">
        <v>0.18888888888888888</v>
      </c>
      <c r="D44" t="s">
        <v>160</v>
      </c>
      <c r="E44" t="s">
        <v>53</v>
      </c>
      <c r="F44">
        <v>19</v>
      </c>
      <c r="G44" t="s">
        <v>96</v>
      </c>
      <c r="H44" t="s">
        <v>55</v>
      </c>
      <c r="I44" t="s">
        <v>56</v>
      </c>
      <c r="J44">
        <v>3</v>
      </c>
      <c r="K44">
        <v>10</v>
      </c>
      <c r="L44" t="s">
        <v>73</v>
      </c>
      <c r="M44" t="s">
        <v>69</v>
      </c>
    </row>
    <row r="45" spans="1:13" x14ac:dyDescent="0.3">
      <c r="A45" t="s">
        <v>161</v>
      </c>
      <c r="B45" s="5">
        <v>45078</v>
      </c>
      <c r="C45" s="6">
        <v>0.59513888888888888</v>
      </c>
      <c r="D45" t="s">
        <v>162</v>
      </c>
      <c r="E45" t="s">
        <v>53</v>
      </c>
      <c r="F45">
        <v>70</v>
      </c>
      <c r="G45" t="s">
        <v>66</v>
      </c>
      <c r="H45" t="s">
        <v>55</v>
      </c>
      <c r="I45" t="s">
        <v>62</v>
      </c>
      <c r="J45">
        <v>1</v>
      </c>
      <c r="K45">
        <v>37</v>
      </c>
      <c r="L45" t="s">
        <v>109</v>
      </c>
      <c r="M45" t="s">
        <v>58</v>
      </c>
    </row>
    <row r="46" spans="1:13" x14ac:dyDescent="0.3">
      <c r="A46" t="s">
        <v>163</v>
      </c>
      <c r="B46" s="5">
        <v>45444</v>
      </c>
      <c r="C46" s="6">
        <v>0.99652777777777779</v>
      </c>
      <c r="D46" t="s">
        <v>164</v>
      </c>
      <c r="E46" t="s">
        <v>61</v>
      </c>
      <c r="F46">
        <v>21</v>
      </c>
      <c r="G46" t="s">
        <v>66</v>
      </c>
      <c r="H46" t="s">
        <v>55</v>
      </c>
      <c r="I46" t="s">
        <v>62</v>
      </c>
      <c r="J46">
        <v>10</v>
      </c>
      <c r="K46">
        <v>22</v>
      </c>
      <c r="L46" t="s">
        <v>57</v>
      </c>
      <c r="M46" t="s">
        <v>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53E2E-BF50-4B58-81FB-154FA68EE876}">
  <dimension ref="A1:M143"/>
  <sheetViews>
    <sheetView topLeftCell="C1" zoomScale="97" zoomScaleNormal="100" workbookViewId="0"/>
  </sheetViews>
  <sheetFormatPr defaultRowHeight="14.4" x14ac:dyDescent="0.3"/>
  <cols>
    <col min="1" max="1" width="39.6640625" bestFit="1" customWidth="1"/>
    <col min="2" max="2" width="51.33203125" bestFit="1" customWidth="1"/>
    <col min="3" max="3" width="51.21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7" t="s">
        <v>452</v>
      </c>
    </row>
    <row r="3" spans="1:13" x14ac:dyDescent="0.3">
      <c r="A3" t="s">
        <v>38</v>
      </c>
      <c r="B3" t="s">
        <v>39</v>
      </c>
      <c r="C3" t="s">
        <v>40</v>
      </c>
      <c r="D3" t="s">
        <v>41</v>
      </c>
      <c r="E3" t="s">
        <v>42</v>
      </c>
      <c r="F3" t="s">
        <v>43</v>
      </c>
      <c r="G3" t="s">
        <v>44</v>
      </c>
      <c r="H3" t="s">
        <v>45</v>
      </c>
      <c r="I3" t="s">
        <v>46</v>
      </c>
      <c r="J3" t="s">
        <v>47</v>
      </c>
      <c r="K3" t="s">
        <v>48</v>
      </c>
      <c r="L3" t="s">
        <v>49</v>
      </c>
      <c r="M3" t="s">
        <v>50</v>
      </c>
    </row>
    <row r="4" spans="1:13" x14ac:dyDescent="0.3">
      <c r="A4" t="s">
        <v>171</v>
      </c>
      <c r="B4" s="5">
        <v>45141</v>
      </c>
      <c r="C4" s="6">
        <v>0.81180555555555556</v>
      </c>
      <c r="D4" t="s">
        <v>172</v>
      </c>
      <c r="E4" t="s">
        <v>61</v>
      </c>
      <c r="F4">
        <v>68</v>
      </c>
      <c r="G4" t="s">
        <v>54</v>
      </c>
      <c r="H4" t="s">
        <v>55</v>
      </c>
      <c r="I4" t="s">
        <v>56</v>
      </c>
      <c r="K4">
        <v>56</v>
      </c>
      <c r="L4" t="s">
        <v>109</v>
      </c>
      <c r="M4" t="s">
        <v>58</v>
      </c>
    </row>
    <row r="5" spans="1:13" x14ac:dyDescent="0.3">
      <c r="A5" t="s">
        <v>173</v>
      </c>
      <c r="B5" s="5">
        <v>45166</v>
      </c>
      <c r="C5" s="6">
        <v>0.40277777777777779</v>
      </c>
      <c r="D5" t="s">
        <v>174</v>
      </c>
      <c r="E5" t="s">
        <v>61</v>
      </c>
      <c r="F5">
        <v>68</v>
      </c>
      <c r="G5" t="s">
        <v>54</v>
      </c>
      <c r="H5" t="s">
        <v>55</v>
      </c>
      <c r="I5" t="s">
        <v>56</v>
      </c>
      <c r="K5">
        <v>44</v>
      </c>
      <c r="L5" t="s">
        <v>109</v>
      </c>
      <c r="M5" t="s">
        <v>58</v>
      </c>
    </row>
    <row r="6" spans="1:13" x14ac:dyDescent="0.3">
      <c r="A6" t="s">
        <v>175</v>
      </c>
      <c r="B6" s="5">
        <v>45505</v>
      </c>
      <c r="C6" s="6">
        <v>0.64027777777777772</v>
      </c>
      <c r="D6" t="s">
        <v>176</v>
      </c>
      <c r="E6" t="s">
        <v>61</v>
      </c>
      <c r="F6">
        <v>66</v>
      </c>
      <c r="G6" t="s">
        <v>54</v>
      </c>
      <c r="H6" t="s">
        <v>55</v>
      </c>
      <c r="I6" t="s">
        <v>56</v>
      </c>
      <c r="K6">
        <v>54</v>
      </c>
      <c r="L6" t="s">
        <v>109</v>
      </c>
      <c r="M6" t="s">
        <v>58</v>
      </c>
    </row>
    <row r="7" spans="1:13" x14ac:dyDescent="0.3">
      <c r="A7" t="s">
        <v>177</v>
      </c>
      <c r="B7" s="5">
        <v>45508</v>
      </c>
      <c r="C7" s="6">
        <v>0.97361111111111109</v>
      </c>
      <c r="D7" t="s">
        <v>178</v>
      </c>
      <c r="E7" t="s">
        <v>61</v>
      </c>
      <c r="F7">
        <v>64</v>
      </c>
      <c r="G7" t="s">
        <v>54</v>
      </c>
      <c r="H7" t="s">
        <v>55</v>
      </c>
      <c r="I7" t="s">
        <v>56</v>
      </c>
      <c r="K7">
        <v>34</v>
      </c>
      <c r="L7" t="s">
        <v>109</v>
      </c>
      <c r="M7" t="s">
        <v>58</v>
      </c>
    </row>
    <row r="8" spans="1:13" x14ac:dyDescent="0.3">
      <c r="A8" t="s">
        <v>179</v>
      </c>
      <c r="B8" s="5">
        <v>45521</v>
      </c>
      <c r="C8" s="6">
        <v>0.27291666666666664</v>
      </c>
      <c r="D8" t="s">
        <v>180</v>
      </c>
      <c r="E8" t="s">
        <v>61</v>
      </c>
      <c r="F8">
        <v>68</v>
      </c>
      <c r="G8" t="s">
        <v>54</v>
      </c>
      <c r="H8" t="s">
        <v>55</v>
      </c>
      <c r="I8" t="s">
        <v>56</v>
      </c>
      <c r="K8">
        <v>20</v>
      </c>
      <c r="L8" t="s">
        <v>109</v>
      </c>
      <c r="M8" t="s">
        <v>69</v>
      </c>
    </row>
    <row r="9" spans="1:13" x14ac:dyDescent="0.3">
      <c r="A9" t="s">
        <v>181</v>
      </c>
      <c r="B9" s="5">
        <v>45532</v>
      </c>
      <c r="C9" s="6">
        <v>0.47152777777777777</v>
      </c>
      <c r="D9" t="s">
        <v>182</v>
      </c>
      <c r="E9" t="s">
        <v>61</v>
      </c>
      <c r="F9">
        <v>69</v>
      </c>
      <c r="G9" t="s">
        <v>54</v>
      </c>
      <c r="H9" t="s">
        <v>55</v>
      </c>
      <c r="I9" t="s">
        <v>56</v>
      </c>
      <c r="K9">
        <v>16</v>
      </c>
      <c r="L9" t="s">
        <v>109</v>
      </c>
      <c r="M9" t="s">
        <v>69</v>
      </c>
    </row>
    <row r="10" spans="1:13" x14ac:dyDescent="0.3">
      <c r="A10" t="s">
        <v>183</v>
      </c>
      <c r="B10" s="5">
        <v>45157</v>
      </c>
      <c r="C10" s="6">
        <v>0.31874999999999998</v>
      </c>
      <c r="D10" t="s">
        <v>184</v>
      </c>
      <c r="E10" t="s">
        <v>53</v>
      </c>
      <c r="F10">
        <v>61</v>
      </c>
      <c r="G10" t="s">
        <v>54</v>
      </c>
      <c r="H10" t="s">
        <v>55</v>
      </c>
      <c r="I10" t="s">
        <v>56</v>
      </c>
      <c r="K10">
        <v>33</v>
      </c>
      <c r="L10" t="s">
        <v>109</v>
      </c>
      <c r="M10" t="s">
        <v>58</v>
      </c>
    </row>
    <row r="11" spans="1:13" x14ac:dyDescent="0.3">
      <c r="A11" t="s">
        <v>185</v>
      </c>
      <c r="B11" s="5">
        <v>45161</v>
      </c>
      <c r="C11" s="6">
        <v>0.35138888888888886</v>
      </c>
      <c r="D11" t="s">
        <v>186</v>
      </c>
      <c r="E11" t="s">
        <v>53</v>
      </c>
      <c r="F11">
        <v>68</v>
      </c>
      <c r="G11" t="s">
        <v>54</v>
      </c>
      <c r="H11" t="s">
        <v>55</v>
      </c>
      <c r="I11" t="s">
        <v>56</v>
      </c>
      <c r="K11">
        <v>43</v>
      </c>
      <c r="L11" t="s">
        <v>109</v>
      </c>
      <c r="M11" t="s">
        <v>58</v>
      </c>
    </row>
    <row r="12" spans="1:13" x14ac:dyDescent="0.3">
      <c r="A12" t="s">
        <v>187</v>
      </c>
      <c r="B12" s="5">
        <v>45514</v>
      </c>
      <c r="C12" s="6">
        <v>0.73611111111111116</v>
      </c>
      <c r="D12" t="s">
        <v>188</v>
      </c>
      <c r="E12" t="s">
        <v>53</v>
      </c>
      <c r="F12">
        <v>70</v>
      </c>
      <c r="G12" t="s">
        <v>54</v>
      </c>
      <c r="H12" t="s">
        <v>55</v>
      </c>
      <c r="I12" t="s">
        <v>56</v>
      </c>
      <c r="K12">
        <v>38</v>
      </c>
      <c r="L12" t="s">
        <v>109</v>
      </c>
      <c r="M12" t="s">
        <v>58</v>
      </c>
    </row>
    <row r="13" spans="1:13" x14ac:dyDescent="0.3">
      <c r="A13" t="s">
        <v>189</v>
      </c>
      <c r="B13" s="5">
        <v>45533</v>
      </c>
      <c r="C13" s="6">
        <v>0.51527777777777772</v>
      </c>
      <c r="D13" t="s">
        <v>190</v>
      </c>
      <c r="E13" t="s">
        <v>53</v>
      </c>
      <c r="F13">
        <v>64</v>
      </c>
      <c r="G13" t="s">
        <v>54</v>
      </c>
      <c r="H13" t="s">
        <v>55</v>
      </c>
      <c r="I13" t="s">
        <v>56</v>
      </c>
      <c r="K13">
        <v>40</v>
      </c>
      <c r="L13" t="s">
        <v>109</v>
      </c>
      <c r="M13" t="s">
        <v>58</v>
      </c>
    </row>
    <row r="14" spans="1:13" x14ac:dyDescent="0.3">
      <c r="A14" t="s">
        <v>191</v>
      </c>
      <c r="B14" s="5">
        <v>45145</v>
      </c>
      <c r="C14" s="6">
        <v>0.74375000000000002</v>
      </c>
      <c r="D14" t="s">
        <v>192</v>
      </c>
      <c r="E14" t="s">
        <v>53</v>
      </c>
      <c r="F14">
        <v>63</v>
      </c>
      <c r="G14" t="s">
        <v>54</v>
      </c>
      <c r="H14" t="s">
        <v>55</v>
      </c>
      <c r="I14" t="s">
        <v>62</v>
      </c>
      <c r="K14">
        <v>56</v>
      </c>
      <c r="L14" t="s">
        <v>109</v>
      </c>
      <c r="M14" t="s">
        <v>58</v>
      </c>
    </row>
    <row r="15" spans="1:13" x14ac:dyDescent="0.3">
      <c r="A15" t="s">
        <v>193</v>
      </c>
      <c r="B15" s="5">
        <v>45154</v>
      </c>
      <c r="C15" s="6">
        <v>0.18541666666666667</v>
      </c>
      <c r="D15" t="s">
        <v>194</v>
      </c>
      <c r="E15" t="s">
        <v>53</v>
      </c>
      <c r="F15">
        <v>68</v>
      </c>
      <c r="G15" t="s">
        <v>54</v>
      </c>
      <c r="H15" t="s">
        <v>55</v>
      </c>
      <c r="I15" t="s">
        <v>62</v>
      </c>
      <c r="K15">
        <v>42</v>
      </c>
      <c r="L15" t="s">
        <v>109</v>
      </c>
      <c r="M15" t="s">
        <v>58</v>
      </c>
    </row>
    <row r="16" spans="1:13" x14ac:dyDescent="0.3">
      <c r="A16" t="s">
        <v>195</v>
      </c>
      <c r="B16" s="5">
        <v>45154</v>
      </c>
      <c r="C16" s="6">
        <v>1.2500000000000001E-2</v>
      </c>
      <c r="D16" t="s">
        <v>196</v>
      </c>
      <c r="E16" t="s">
        <v>53</v>
      </c>
      <c r="F16">
        <v>69</v>
      </c>
      <c r="G16" t="s">
        <v>54</v>
      </c>
      <c r="H16" t="s">
        <v>55</v>
      </c>
      <c r="I16" t="s">
        <v>62</v>
      </c>
      <c r="K16">
        <v>20</v>
      </c>
      <c r="L16" t="s">
        <v>109</v>
      </c>
      <c r="M16" t="s">
        <v>69</v>
      </c>
    </row>
    <row r="17" spans="1:13" x14ac:dyDescent="0.3">
      <c r="A17" t="s">
        <v>197</v>
      </c>
      <c r="B17" s="5">
        <v>45158</v>
      </c>
      <c r="C17" s="6">
        <v>0.82361111111111107</v>
      </c>
      <c r="D17" t="s">
        <v>198</v>
      </c>
      <c r="E17" t="s">
        <v>53</v>
      </c>
      <c r="F17">
        <v>66</v>
      </c>
      <c r="G17" t="s">
        <v>54</v>
      </c>
      <c r="H17" t="s">
        <v>55</v>
      </c>
      <c r="I17" t="s">
        <v>62</v>
      </c>
      <c r="K17">
        <v>33</v>
      </c>
      <c r="L17" t="s">
        <v>109</v>
      </c>
      <c r="M17" t="s">
        <v>58</v>
      </c>
    </row>
    <row r="18" spans="1:13" x14ac:dyDescent="0.3">
      <c r="A18" t="s">
        <v>199</v>
      </c>
      <c r="B18" s="5">
        <v>45158</v>
      </c>
      <c r="C18" s="6">
        <v>0.24791666666666667</v>
      </c>
      <c r="D18" t="s">
        <v>200</v>
      </c>
      <c r="E18" t="s">
        <v>53</v>
      </c>
      <c r="F18">
        <v>63</v>
      </c>
      <c r="G18" t="s">
        <v>54</v>
      </c>
      <c r="H18" t="s">
        <v>55</v>
      </c>
      <c r="I18" t="s">
        <v>62</v>
      </c>
      <c r="K18">
        <v>57</v>
      </c>
      <c r="L18" t="s">
        <v>109</v>
      </c>
      <c r="M18" t="s">
        <v>58</v>
      </c>
    </row>
    <row r="19" spans="1:13" x14ac:dyDescent="0.3">
      <c r="A19" t="s">
        <v>201</v>
      </c>
      <c r="B19" s="5">
        <v>45150</v>
      </c>
      <c r="C19" s="6">
        <v>6.2500000000000003E-3</v>
      </c>
      <c r="D19" t="s">
        <v>202</v>
      </c>
      <c r="E19" t="s">
        <v>61</v>
      </c>
      <c r="F19">
        <v>68</v>
      </c>
      <c r="G19" t="s">
        <v>54</v>
      </c>
      <c r="H19" t="s">
        <v>55</v>
      </c>
      <c r="I19" t="s">
        <v>62</v>
      </c>
      <c r="K19">
        <v>18</v>
      </c>
      <c r="L19" t="s">
        <v>109</v>
      </c>
      <c r="M19" t="s">
        <v>69</v>
      </c>
    </row>
    <row r="20" spans="1:13" x14ac:dyDescent="0.3">
      <c r="A20" t="s">
        <v>203</v>
      </c>
      <c r="B20" s="5">
        <v>45164</v>
      </c>
      <c r="C20" s="6">
        <v>0.84166666666666667</v>
      </c>
      <c r="D20" t="s">
        <v>204</v>
      </c>
      <c r="E20" t="s">
        <v>61</v>
      </c>
      <c r="F20">
        <v>67</v>
      </c>
      <c r="G20" t="s">
        <v>54</v>
      </c>
      <c r="H20" t="s">
        <v>55</v>
      </c>
      <c r="I20" t="s">
        <v>62</v>
      </c>
      <c r="K20">
        <v>27</v>
      </c>
      <c r="L20" t="s">
        <v>109</v>
      </c>
      <c r="M20" t="s">
        <v>69</v>
      </c>
    </row>
    <row r="21" spans="1:13" x14ac:dyDescent="0.3">
      <c r="A21" t="s">
        <v>205</v>
      </c>
      <c r="B21" s="5">
        <v>45534</v>
      </c>
      <c r="C21" s="6">
        <v>0.30625000000000002</v>
      </c>
      <c r="D21" t="s">
        <v>206</v>
      </c>
      <c r="E21" t="s">
        <v>61</v>
      </c>
      <c r="F21">
        <v>70</v>
      </c>
      <c r="G21" t="s">
        <v>54</v>
      </c>
      <c r="H21" t="s">
        <v>55</v>
      </c>
      <c r="I21" t="s">
        <v>62</v>
      </c>
      <c r="K21">
        <v>57</v>
      </c>
      <c r="L21" t="s">
        <v>109</v>
      </c>
      <c r="M21" t="s">
        <v>58</v>
      </c>
    </row>
    <row r="22" spans="1:13" x14ac:dyDescent="0.3">
      <c r="A22" t="s">
        <v>207</v>
      </c>
      <c r="B22" s="5">
        <v>45140</v>
      </c>
      <c r="C22" s="6">
        <v>0.64513888888888893</v>
      </c>
      <c r="D22" t="s">
        <v>208</v>
      </c>
      <c r="E22" t="s">
        <v>61</v>
      </c>
      <c r="F22">
        <v>67</v>
      </c>
      <c r="G22" t="s">
        <v>66</v>
      </c>
      <c r="H22" t="s">
        <v>55</v>
      </c>
      <c r="I22" t="s">
        <v>62</v>
      </c>
      <c r="K22">
        <v>34</v>
      </c>
      <c r="L22" t="s">
        <v>109</v>
      </c>
      <c r="M22" t="s">
        <v>58</v>
      </c>
    </row>
    <row r="23" spans="1:13" x14ac:dyDescent="0.3">
      <c r="A23" t="s">
        <v>209</v>
      </c>
      <c r="B23" s="5">
        <v>45142</v>
      </c>
      <c r="C23" s="6">
        <v>0.1</v>
      </c>
      <c r="D23" t="s">
        <v>210</v>
      </c>
      <c r="E23" t="s">
        <v>61</v>
      </c>
      <c r="F23">
        <v>62</v>
      </c>
      <c r="G23" t="s">
        <v>66</v>
      </c>
      <c r="H23" t="s">
        <v>55</v>
      </c>
      <c r="I23" t="s">
        <v>62</v>
      </c>
      <c r="K23">
        <v>34</v>
      </c>
      <c r="L23" t="s">
        <v>109</v>
      </c>
      <c r="M23" t="s">
        <v>58</v>
      </c>
    </row>
    <row r="24" spans="1:13" x14ac:dyDescent="0.3">
      <c r="A24" t="s">
        <v>211</v>
      </c>
      <c r="B24" s="5">
        <v>45152</v>
      </c>
      <c r="C24" s="6">
        <v>0.89375000000000004</v>
      </c>
      <c r="D24" t="s">
        <v>212</v>
      </c>
      <c r="E24" t="s">
        <v>61</v>
      </c>
      <c r="F24">
        <v>67</v>
      </c>
      <c r="G24" t="s">
        <v>66</v>
      </c>
      <c r="H24" t="s">
        <v>55</v>
      </c>
      <c r="I24" t="s">
        <v>62</v>
      </c>
      <c r="K24">
        <v>14</v>
      </c>
      <c r="L24" t="s">
        <v>109</v>
      </c>
      <c r="M24" t="s">
        <v>69</v>
      </c>
    </row>
    <row r="25" spans="1:13" x14ac:dyDescent="0.3">
      <c r="A25" t="s">
        <v>213</v>
      </c>
      <c r="B25" s="5">
        <v>45157</v>
      </c>
      <c r="C25" s="6">
        <v>0.38194444444444442</v>
      </c>
      <c r="D25" t="s">
        <v>214</v>
      </c>
      <c r="E25" t="s">
        <v>61</v>
      </c>
      <c r="F25">
        <v>65</v>
      </c>
      <c r="G25" t="s">
        <v>66</v>
      </c>
      <c r="H25" t="s">
        <v>55</v>
      </c>
      <c r="I25" t="s">
        <v>62</v>
      </c>
      <c r="K25">
        <v>13</v>
      </c>
      <c r="L25" t="s">
        <v>109</v>
      </c>
      <c r="M25" t="s">
        <v>69</v>
      </c>
    </row>
    <row r="26" spans="1:13" x14ac:dyDescent="0.3">
      <c r="A26" t="s">
        <v>215</v>
      </c>
      <c r="B26" s="5">
        <v>45515</v>
      </c>
      <c r="C26" s="6">
        <v>0.97499999999999998</v>
      </c>
      <c r="D26" t="s">
        <v>216</v>
      </c>
      <c r="E26" t="s">
        <v>61</v>
      </c>
      <c r="F26">
        <v>61</v>
      </c>
      <c r="G26" t="s">
        <v>66</v>
      </c>
      <c r="H26" t="s">
        <v>55</v>
      </c>
      <c r="I26" t="s">
        <v>62</v>
      </c>
      <c r="K26">
        <v>45</v>
      </c>
      <c r="L26" t="s">
        <v>109</v>
      </c>
      <c r="M26" t="s">
        <v>58</v>
      </c>
    </row>
    <row r="27" spans="1:13" x14ac:dyDescent="0.3">
      <c r="A27" t="s">
        <v>217</v>
      </c>
      <c r="B27" s="5">
        <v>45531</v>
      </c>
      <c r="C27" s="6">
        <v>0.15486111111111112</v>
      </c>
      <c r="D27" t="s">
        <v>218</v>
      </c>
      <c r="E27" t="s">
        <v>61</v>
      </c>
      <c r="F27">
        <v>62</v>
      </c>
      <c r="G27" t="s">
        <v>66</v>
      </c>
      <c r="H27" t="s">
        <v>55</v>
      </c>
      <c r="I27" t="s">
        <v>62</v>
      </c>
      <c r="K27">
        <v>45</v>
      </c>
      <c r="L27" t="s">
        <v>109</v>
      </c>
      <c r="M27" t="s">
        <v>58</v>
      </c>
    </row>
    <row r="28" spans="1:13" x14ac:dyDescent="0.3">
      <c r="A28" t="s">
        <v>219</v>
      </c>
      <c r="B28" s="5">
        <v>45165</v>
      </c>
      <c r="C28" s="6">
        <v>3.6805555555555557E-2</v>
      </c>
      <c r="D28" t="s">
        <v>220</v>
      </c>
      <c r="E28" t="s">
        <v>53</v>
      </c>
      <c r="F28">
        <v>61</v>
      </c>
      <c r="G28" t="s">
        <v>66</v>
      </c>
      <c r="H28" t="s">
        <v>55</v>
      </c>
      <c r="I28" t="s">
        <v>62</v>
      </c>
      <c r="K28">
        <v>42</v>
      </c>
      <c r="L28" t="s">
        <v>109</v>
      </c>
      <c r="M28" t="s">
        <v>58</v>
      </c>
    </row>
    <row r="29" spans="1:13" x14ac:dyDescent="0.3">
      <c r="A29" t="s">
        <v>221</v>
      </c>
      <c r="B29" s="5">
        <v>45508</v>
      </c>
      <c r="C29" s="6">
        <v>0.27708333333333335</v>
      </c>
      <c r="D29" t="s">
        <v>222</v>
      </c>
      <c r="E29" t="s">
        <v>53</v>
      </c>
      <c r="F29">
        <v>69</v>
      </c>
      <c r="G29" t="s">
        <v>66</v>
      </c>
      <c r="H29" t="s">
        <v>55</v>
      </c>
      <c r="I29" t="s">
        <v>62</v>
      </c>
      <c r="K29">
        <v>44</v>
      </c>
      <c r="L29" t="s">
        <v>109</v>
      </c>
      <c r="M29" t="s">
        <v>58</v>
      </c>
    </row>
    <row r="30" spans="1:13" x14ac:dyDescent="0.3">
      <c r="A30" t="s">
        <v>223</v>
      </c>
      <c r="B30" s="5">
        <v>45515</v>
      </c>
      <c r="C30" s="6">
        <v>0.27638888888888891</v>
      </c>
      <c r="D30" t="s">
        <v>224</v>
      </c>
      <c r="E30" t="s">
        <v>53</v>
      </c>
      <c r="F30">
        <v>61</v>
      </c>
      <c r="G30" t="s">
        <v>66</v>
      </c>
      <c r="H30" t="s">
        <v>55</v>
      </c>
      <c r="I30" t="s">
        <v>62</v>
      </c>
      <c r="K30">
        <v>39</v>
      </c>
      <c r="L30" t="s">
        <v>109</v>
      </c>
      <c r="M30" t="s">
        <v>58</v>
      </c>
    </row>
    <row r="31" spans="1:13" x14ac:dyDescent="0.3">
      <c r="A31" t="s">
        <v>225</v>
      </c>
      <c r="B31" s="5">
        <v>45147</v>
      </c>
      <c r="C31" s="6">
        <v>0.44583333333333336</v>
      </c>
      <c r="D31" t="s">
        <v>226</v>
      </c>
      <c r="E31" t="s">
        <v>53</v>
      </c>
      <c r="F31">
        <v>67</v>
      </c>
      <c r="G31" t="s">
        <v>66</v>
      </c>
      <c r="H31" t="s">
        <v>55</v>
      </c>
      <c r="I31" t="s">
        <v>56</v>
      </c>
      <c r="K31">
        <v>25</v>
      </c>
      <c r="L31" t="s">
        <v>109</v>
      </c>
      <c r="M31" t="s">
        <v>69</v>
      </c>
    </row>
    <row r="32" spans="1:13" x14ac:dyDescent="0.3">
      <c r="A32" t="s">
        <v>227</v>
      </c>
      <c r="B32" s="5">
        <v>45515</v>
      </c>
      <c r="C32" s="6">
        <v>0.41597222222222224</v>
      </c>
      <c r="D32" t="s">
        <v>228</v>
      </c>
      <c r="E32" t="s">
        <v>53</v>
      </c>
      <c r="F32">
        <v>69</v>
      </c>
      <c r="G32" t="s">
        <v>66</v>
      </c>
      <c r="H32" t="s">
        <v>55</v>
      </c>
      <c r="I32" t="s">
        <v>56</v>
      </c>
      <c r="K32">
        <v>18</v>
      </c>
      <c r="L32" t="s">
        <v>109</v>
      </c>
      <c r="M32" t="s">
        <v>69</v>
      </c>
    </row>
    <row r="33" spans="1:13" x14ac:dyDescent="0.3">
      <c r="A33" t="s">
        <v>229</v>
      </c>
      <c r="B33" s="5">
        <v>45521</v>
      </c>
      <c r="C33" s="6">
        <v>0.81805555555555554</v>
      </c>
      <c r="D33" t="s">
        <v>230</v>
      </c>
      <c r="E33" t="s">
        <v>53</v>
      </c>
      <c r="F33">
        <v>62</v>
      </c>
      <c r="G33" t="s">
        <v>66</v>
      </c>
      <c r="H33" t="s">
        <v>55</v>
      </c>
      <c r="I33" t="s">
        <v>56</v>
      </c>
      <c r="K33">
        <v>32</v>
      </c>
      <c r="L33" t="s">
        <v>109</v>
      </c>
      <c r="M33" t="s">
        <v>58</v>
      </c>
    </row>
    <row r="34" spans="1:13" x14ac:dyDescent="0.3">
      <c r="A34" t="s">
        <v>231</v>
      </c>
      <c r="B34" s="5">
        <v>45148</v>
      </c>
      <c r="C34" s="6">
        <v>0.56944444444444442</v>
      </c>
      <c r="D34" t="s">
        <v>232</v>
      </c>
      <c r="E34" t="s">
        <v>61</v>
      </c>
      <c r="F34">
        <v>65</v>
      </c>
      <c r="G34" t="s">
        <v>66</v>
      </c>
      <c r="H34" t="s">
        <v>55</v>
      </c>
      <c r="I34" t="s">
        <v>56</v>
      </c>
      <c r="K34">
        <v>35</v>
      </c>
      <c r="L34" t="s">
        <v>109</v>
      </c>
      <c r="M34" t="s">
        <v>58</v>
      </c>
    </row>
    <row r="35" spans="1:13" x14ac:dyDescent="0.3">
      <c r="A35" t="s">
        <v>233</v>
      </c>
      <c r="B35" s="5">
        <v>45510</v>
      </c>
      <c r="C35" s="6">
        <v>0.55625000000000002</v>
      </c>
      <c r="D35" t="s">
        <v>234</v>
      </c>
      <c r="E35" t="s">
        <v>61</v>
      </c>
      <c r="F35">
        <v>61</v>
      </c>
      <c r="G35" t="s">
        <v>66</v>
      </c>
      <c r="H35" t="s">
        <v>55</v>
      </c>
      <c r="I35" t="s">
        <v>56</v>
      </c>
      <c r="K35">
        <v>56</v>
      </c>
      <c r="L35" t="s">
        <v>109</v>
      </c>
      <c r="M35" t="s">
        <v>58</v>
      </c>
    </row>
    <row r="36" spans="1:13" x14ac:dyDescent="0.3">
      <c r="A36" t="s">
        <v>235</v>
      </c>
      <c r="B36" s="5">
        <v>45519</v>
      </c>
      <c r="C36" s="6">
        <v>0.96875</v>
      </c>
      <c r="D36" t="s">
        <v>236</v>
      </c>
      <c r="E36" t="s">
        <v>53</v>
      </c>
      <c r="F36">
        <v>61</v>
      </c>
      <c r="G36" t="s">
        <v>72</v>
      </c>
      <c r="H36" t="s">
        <v>55</v>
      </c>
      <c r="I36" t="s">
        <v>56</v>
      </c>
      <c r="K36">
        <v>59</v>
      </c>
      <c r="L36" t="s">
        <v>109</v>
      </c>
      <c r="M36" t="s">
        <v>58</v>
      </c>
    </row>
    <row r="37" spans="1:13" x14ac:dyDescent="0.3">
      <c r="A37" t="s">
        <v>237</v>
      </c>
      <c r="B37" s="5">
        <v>45521</v>
      </c>
      <c r="C37" s="6">
        <v>0.31180555555555556</v>
      </c>
      <c r="D37" t="s">
        <v>238</v>
      </c>
      <c r="E37" t="s">
        <v>53</v>
      </c>
      <c r="F37">
        <v>62</v>
      </c>
      <c r="G37" t="s">
        <v>72</v>
      </c>
      <c r="H37" t="s">
        <v>55</v>
      </c>
      <c r="I37" t="s">
        <v>62</v>
      </c>
      <c r="K37">
        <v>20</v>
      </c>
      <c r="L37" t="s">
        <v>109</v>
      </c>
      <c r="M37" t="s">
        <v>69</v>
      </c>
    </row>
    <row r="38" spans="1:13" x14ac:dyDescent="0.3">
      <c r="A38" t="s">
        <v>239</v>
      </c>
      <c r="B38" s="5">
        <v>45142</v>
      </c>
      <c r="C38" s="6">
        <v>0.9291666666666667</v>
      </c>
      <c r="D38" t="s">
        <v>240</v>
      </c>
      <c r="E38" t="s">
        <v>61</v>
      </c>
      <c r="F38">
        <v>67</v>
      </c>
      <c r="G38" t="s">
        <v>72</v>
      </c>
      <c r="H38" t="s">
        <v>55</v>
      </c>
      <c r="I38" t="s">
        <v>56</v>
      </c>
      <c r="K38">
        <v>16</v>
      </c>
      <c r="L38" t="s">
        <v>109</v>
      </c>
      <c r="M38" t="s">
        <v>69</v>
      </c>
    </row>
    <row r="39" spans="1:13" x14ac:dyDescent="0.3">
      <c r="A39" t="s">
        <v>241</v>
      </c>
      <c r="B39" s="5">
        <v>45151</v>
      </c>
      <c r="C39" s="6">
        <v>0.15208333333333332</v>
      </c>
      <c r="D39" t="s">
        <v>242</v>
      </c>
      <c r="E39" t="s">
        <v>61</v>
      </c>
      <c r="F39">
        <v>65</v>
      </c>
      <c r="G39" t="s">
        <v>72</v>
      </c>
      <c r="H39" t="s">
        <v>55</v>
      </c>
      <c r="I39" t="s">
        <v>62</v>
      </c>
      <c r="K39">
        <v>44</v>
      </c>
      <c r="L39" t="s">
        <v>109</v>
      </c>
      <c r="M39" t="s">
        <v>58</v>
      </c>
    </row>
    <row r="40" spans="1:13" x14ac:dyDescent="0.3">
      <c r="A40" t="s">
        <v>243</v>
      </c>
      <c r="B40" s="5">
        <v>45163</v>
      </c>
      <c r="C40" s="6">
        <v>0.77430555555555558</v>
      </c>
      <c r="D40" t="s">
        <v>244</v>
      </c>
      <c r="E40" t="s">
        <v>61</v>
      </c>
      <c r="F40">
        <v>64</v>
      </c>
      <c r="G40" t="s">
        <v>72</v>
      </c>
      <c r="H40" t="s">
        <v>55</v>
      </c>
      <c r="I40" t="s">
        <v>62</v>
      </c>
      <c r="K40">
        <v>33</v>
      </c>
      <c r="L40" t="s">
        <v>109</v>
      </c>
      <c r="M40" t="s">
        <v>58</v>
      </c>
    </row>
    <row r="41" spans="1:13" x14ac:dyDescent="0.3">
      <c r="A41" t="s">
        <v>245</v>
      </c>
      <c r="B41" s="5">
        <v>45519</v>
      </c>
      <c r="C41" s="6">
        <v>0.83402777777777781</v>
      </c>
      <c r="D41" t="s">
        <v>246</v>
      </c>
      <c r="E41" t="s">
        <v>61</v>
      </c>
      <c r="F41">
        <v>61</v>
      </c>
      <c r="G41" t="s">
        <v>72</v>
      </c>
      <c r="H41" t="s">
        <v>55</v>
      </c>
      <c r="I41" t="s">
        <v>62</v>
      </c>
      <c r="K41">
        <v>38</v>
      </c>
      <c r="L41" t="s">
        <v>109</v>
      </c>
      <c r="M41" t="s">
        <v>58</v>
      </c>
    </row>
    <row r="42" spans="1:13" x14ac:dyDescent="0.3">
      <c r="A42" t="s">
        <v>247</v>
      </c>
      <c r="B42" s="5">
        <v>45521</v>
      </c>
      <c r="C42" s="6">
        <v>5.0694444444444445E-2</v>
      </c>
      <c r="D42" t="s">
        <v>248</v>
      </c>
      <c r="E42" t="s">
        <v>61</v>
      </c>
      <c r="F42">
        <v>63</v>
      </c>
      <c r="G42" t="s">
        <v>72</v>
      </c>
      <c r="H42" t="s">
        <v>55</v>
      </c>
      <c r="I42" t="s">
        <v>62</v>
      </c>
      <c r="K42">
        <v>41</v>
      </c>
      <c r="L42" t="s">
        <v>109</v>
      </c>
      <c r="M42" t="s">
        <v>58</v>
      </c>
    </row>
    <row r="43" spans="1:13" x14ac:dyDescent="0.3">
      <c r="A43" t="s">
        <v>249</v>
      </c>
      <c r="B43" s="5">
        <v>45522</v>
      </c>
      <c r="C43" s="6">
        <v>0.15486111111111112</v>
      </c>
      <c r="D43" t="s">
        <v>250</v>
      </c>
      <c r="E43" t="s">
        <v>61</v>
      </c>
      <c r="F43">
        <v>63</v>
      </c>
      <c r="G43" t="s">
        <v>72</v>
      </c>
      <c r="H43" t="s">
        <v>55</v>
      </c>
      <c r="I43" t="s">
        <v>62</v>
      </c>
      <c r="K43">
        <v>36</v>
      </c>
      <c r="L43" t="s">
        <v>109</v>
      </c>
      <c r="M43" t="s">
        <v>58</v>
      </c>
    </row>
    <row r="44" spans="1:13" x14ac:dyDescent="0.3">
      <c r="A44" t="s">
        <v>251</v>
      </c>
      <c r="B44" s="5">
        <v>45139</v>
      </c>
      <c r="C44" s="6">
        <v>0.63402777777777775</v>
      </c>
      <c r="D44" t="s">
        <v>252</v>
      </c>
      <c r="E44" t="s">
        <v>61</v>
      </c>
      <c r="F44">
        <v>63</v>
      </c>
      <c r="G44" t="s">
        <v>83</v>
      </c>
      <c r="H44" t="s">
        <v>55</v>
      </c>
      <c r="I44" t="s">
        <v>56</v>
      </c>
      <c r="K44">
        <v>47</v>
      </c>
      <c r="L44" t="s">
        <v>109</v>
      </c>
      <c r="M44" t="s">
        <v>58</v>
      </c>
    </row>
    <row r="45" spans="1:13" x14ac:dyDescent="0.3">
      <c r="A45" t="s">
        <v>253</v>
      </c>
      <c r="B45" s="5">
        <v>45511</v>
      </c>
      <c r="C45" s="6">
        <v>0.62986111111111109</v>
      </c>
      <c r="D45" t="s">
        <v>254</v>
      </c>
      <c r="E45" t="s">
        <v>61</v>
      </c>
      <c r="F45">
        <v>67</v>
      </c>
      <c r="G45" t="s">
        <v>83</v>
      </c>
      <c r="H45" t="s">
        <v>55</v>
      </c>
      <c r="I45" t="s">
        <v>56</v>
      </c>
      <c r="K45">
        <v>13</v>
      </c>
      <c r="L45" t="s">
        <v>109</v>
      </c>
      <c r="M45" t="s">
        <v>69</v>
      </c>
    </row>
    <row r="46" spans="1:13" x14ac:dyDescent="0.3">
      <c r="A46" t="s">
        <v>255</v>
      </c>
      <c r="B46" s="5">
        <v>45149</v>
      </c>
      <c r="C46" s="6">
        <v>0.73263888888888884</v>
      </c>
      <c r="D46" t="s">
        <v>256</v>
      </c>
      <c r="E46" t="s">
        <v>53</v>
      </c>
      <c r="F46">
        <v>66</v>
      </c>
      <c r="G46" t="s">
        <v>83</v>
      </c>
      <c r="H46" t="s">
        <v>55</v>
      </c>
      <c r="I46" t="s">
        <v>56</v>
      </c>
      <c r="K46">
        <v>44</v>
      </c>
      <c r="L46" t="s">
        <v>109</v>
      </c>
      <c r="M46" t="s">
        <v>58</v>
      </c>
    </row>
    <row r="47" spans="1:13" x14ac:dyDescent="0.3">
      <c r="A47" t="s">
        <v>257</v>
      </c>
      <c r="B47" s="5">
        <v>45515</v>
      </c>
      <c r="C47" s="6">
        <v>0.51666666666666672</v>
      </c>
      <c r="D47" t="s">
        <v>258</v>
      </c>
      <c r="E47" t="s">
        <v>53</v>
      </c>
      <c r="F47">
        <v>62</v>
      </c>
      <c r="G47" t="s">
        <v>83</v>
      </c>
      <c r="H47" t="s">
        <v>55</v>
      </c>
      <c r="I47" t="s">
        <v>56</v>
      </c>
      <c r="K47">
        <v>14</v>
      </c>
      <c r="L47" t="s">
        <v>109</v>
      </c>
      <c r="M47" t="s">
        <v>69</v>
      </c>
    </row>
    <row r="48" spans="1:13" x14ac:dyDescent="0.3">
      <c r="A48" t="s">
        <v>259</v>
      </c>
      <c r="B48" s="5">
        <v>45163</v>
      </c>
      <c r="C48" s="6">
        <v>0.64861111111111114</v>
      </c>
      <c r="D48" t="s">
        <v>260</v>
      </c>
      <c r="E48" t="s">
        <v>53</v>
      </c>
      <c r="F48">
        <v>69</v>
      </c>
      <c r="G48" t="s">
        <v>83</v>
      </c>
      <c r="H48" t="s">
        <v>55</v>
      </c>
      <c r="I48" t="s">
        <v>62</v>
      </c>
      <c r="K48">
        <v>26</v>
      </c>
      <c r="L48" t="s">
        <v>109</v>
      </c>
      <c r="M48" t="s">
        <v>69</v>
      </c>
    </row>
    <row r="49" spans="1:13" x14ac:dyDescent="0.3">
      <c r="A49" t="s">
        <v>261</v>
      </c>
      <c r="B49" s="5">
        <v>45158</v>
      </c>
      <c r="C49" s="6">
        <v>0.22708333333333333</v>
      </c>
      <c r="D49" t="s">
        <v>262</v>
      </c>
      <c r="E49" t="s">
        <v>61</v>
      </c>
      <c r="F49">
        <v>62</v>
      </c>
      <c r="G49" t="s">
        <v>83</v>
      </c>
      <c r="H49" t="s">
        <v>55</v>
      </c>
      <c r="I49" t="s">
        <v>62</v>
      </c>
      <c r="K49">
        <v>48</v>
      </c>
      <c r="L49" t="s">
        <v>109</v>
      </c>
      <c r="M49" t="s">
        <v>58</v>
      </c>
    </row>
    <row r="50" spans="1:13" x14ac:dyDescent="0.3">
      <c r="A50" t="s">
        <v>263</v>
      </c>
      <c r="B50" s="5">
        <v>45507</v>
      </c>
      <c r="C50" s="6">
        <v>6.458333333333334E-2</v>
      </c>
      <c r="D50" t="s">
        <v>264</v>
      </c>
      <c r="E50" t="s">
        <v>53</v>
      </c>
      <c r="F50">
        <v>66</v>
      </c>
      <c r="G50" t="s">
        <v>96</v>
      </c>
      <c r="H50" t="s">
        <v>55</v>
      </c>
      <c r="I50" t="s">
        <v>62</v>
      </c>
      <c r="K50">
        <v>11</v>
      </c>
      <c r="L50" t="s">
        <v>109</v>
      </c>
      <c r="M50" t="s">
        <v>69</v>
      </c>
    </row>
    <row r="51" spans="1:13" x14ac:dyDescent="0.3">
      <c r="A51" t="s">
        <v>265</v>
      </c>
      <c r="B51" s="5">
        <v>45523</v>
      </c>
      <c r="C51" s="6">
        <v>5.5555555555555552E-2</v>
      </c>
      <c r="D51" t="s">
        <v>266</v>
      </c>
      <c r="E51" t="s">
        <v>53</v>
      </c>
      <c r="F51">
        <v>70</v>
      </c>
      <c r="G51" t="s">
        <v>96</v>
      </c>
      <c r="H51" t="s">
        <v>55</v>
      </c>
      <c r="I51" t="s">
        <v>62</v>
      </c>
      <c r="K51">
        <v>27</v>
      </c>
      <c r="L51" t="s">
        <v>109</v>
      </c>
      <c r="M51" t="s">
        <v>69</v>
      </c>
    </row>
    <row r="52" spans="1:13" x14ac:dyDescent="0.3">
      <c r="A52" t="s">
        <v>267</v>
      </c>
      <c r="B52" s="5">
        <v>45530</v>
      </c>
      <c r="C52" s="6">
        <v>0.1388888888888889</v>
      </c>
      <c r="D52" t="s">
        <v>268</v>
      </c>
      <c r="E52" t="s">
        <v>53</v>
      </c>
      <c r="F52">
        <v>65</v>
      </c>
      <c r="G52" t="s">
        <v>96</v>
      </c>
      <c r="H52" t="s">
        <v>55</v>
      </c>
      <c r="I52" t="s">
        <v>62</v>
      </c>
      <c r="K52">
        <v>20</v>
      </c>
      <c r="L52" t="s">
        <v>109</v>
      </c>
      <c r="M52" t="s">
        <v>69</v>
      </c>
    </row>
    <row r="53" spans="1:13" x14ac:dyDescent="0.3">
      <c r="A53" t="s">
        <v>269</v>
      </c>
      <c r="B53" s="5">
        <v>45521</v>
      </c>
      <c r="C53" s="6">
        <v>5.1388888888888887E-2</v>
      </c>
      <c r="D53" t="s">
        <v>270</v>
      </c>
      <c r="E53" t="s">
        <v>53</v>
      </c>
      <c r="F53">
        <v>68</v>
      </c>
      <c r="G53" t="s">
        <v>96</v>
      </c>
      <c r="H53" t="s">
        <v>55</v>
      </c>
      <c r="I53" t="s">
        <v>56</v>
      </c>
      <c r="K53">
        <v>25</v>
      </c>
      <c r="L53" t="s">
        <v>109</v>
      </c>
      <c r="M53" t="s">
        <v>69</v>
      </c>
    </row>
    <row r="54" spans="1:13" x14ac:dyDescent="0.3">
      <c r="A54" t="s">
        <v>271</v>
      </c>
      <c r="B54" s="5">
        <v>45524</v>
      </c>
      <c r="C54" s="6">
        <v>0.55763888888888891</v>
      </c>
      <c r="D54" t="s">
        <v>272</v>
      </c>
      <c r="E54" t="s">
        <v>53</v>
      </c>
      <c r="F54">
        <v>69</v>
      </c>
      <c r="G54" t="s">
        <v>96</v>
      </c>
      <c r="H54" t="s">
        <v>55</v>
      </c>
      <c r="I54" t="s">
        <v>56</v>
      </c>
      <c r="K54">
        <v>48</v>
      </c>
      <c r="L54" t="s">
        <v>109</v>
      </c>
      <c r="M54" t="s">
        <v>58</v>
      </c>
    </row>
    <row r="55" spans="1:13" x14ac:dyDescent="0.3">
      <c r="A55" t="s">
        <v>273</v>
      </c>
      <c r="B55" s="5">
        <v>45532</v>
      </c>
      <c r="C55" s="6">
        <v>0.30416666666666664</v>
      </c>
      <c r="D55" t="s">
        <v>274</v>
      </c>
      <c r="E55" t="s">
        <v>53</v>
      </c>
      <c r="F55">
        <v>64</v>
      </c>
      <c r="G55" t="s">
        <v>96</v>
      </c>
      <c r="H55" t="s">
        <v>55</v>
      </c>
      <c r="I55" t="s">
        <v>56</v>
      </c>
      <c r="K55">
        <v>32</v>
      </c>
      <c r="L55" t="s">
        <v>109</v>
      </c>
      <c r="M55" t="s">
        <v>58</v>
      </c>
    </row>
    <row r="56" spans="1:13" x14ac:dyDescent="0.3">
      <c r="A56" t="s">
        <v>275</v>
      </c>
      <c r="B56" s="5">
        <v>45141</v>
      </c>
      <c r="C56" s="6">
        <v>0.48333333333333334</v>
      </c>
      <c r="D56" t="s">
        <v>276</v>
      </c>
      <c r="E56" t="s">
        <v>61</v>
      </c>
      <c r="F56">
        <v>65</v>
      </c>
      <c r="G56" t="s">
        <v>96</v>
      </c>
      <c r="H56" t="s">
        <v>55</v>
      </c>
      <c r="I56" t="s">
        <v>62</v>
      </c>
      <c r="K56">
        <v>30</v>
      </c>
      <c r="L56" t="s">
        <v>109</v>
      </c>
      <c r="M56" t="s">
        <v>69</v>
      </c>
    </row>
    <row r="57" spans="1:13" x14ac:dyDescent="0.3">
      <c r="A57" t="s">
        <v>277</v>
      </c>
      <c r="B57" s="5">
        <v>45154</v>
      </c>
      <c r="C57" s="6">
        <v>0.54097222222222219</v>
      </c>
      <c r="D57" t="s">
        <v>278</v>
      </c>
      <c r="E57" t="s">
        <v>61</v>
      </c>
      <c r="F57">
        <v>65</v>
      </c>
      <c r="G57" t="s">
        <v>96</v>
      </c>
      <c r="H57" t="s">
        <v>55</v>
      </c>
      <c r="I57" t="s">
        <v>62</v>
      </c>
      <c r="K57">
        <v>33</v>
      </c>
      <c r="L57" t="s">
        <v>109</v>
      </c>
      <c r="M57" t="s">
        <v>58</v>
      </c>
    </row>
    <row r="58" spans="1:13" x14ac:dyDescent="0.3">
      <c r="A58" t="s">
        <v>279</v>
      </c>
      <c r="B58" s="5">
        <v>45524</v>
      </c>
      <c r="C58" s="6">
        <v>0.45902777777777776</v>
      </c>
      <c r="D58" t="s">
        <v>280</v>
      </c>
      <c r="E58" t="s">
        <v>61</v>
      </c>
      <c r="F58">
        <v>63</v>
      </c>
      <c r="G58" t="s">
        <v>96</v>
      </c>
      <c r="H58" t="s">
        <v>55</v>
      </c>
      <c r="I58" t="s">
        <v>62</v>
      </c>
      <c r="K58">
        <v>37</v>
      </c>
      <c r="L58" t="s">
        <v>109</v>
      </c>
      <c r="M58" t="s">
        <v>58</v>
      </c>
    </row>
    <row r="59" spans="1:13" x14ac:dyDescent="0.3">
      <c r="A59" t="s">
        <v>281</v>
      </c>
      <c r="B59" s="5">
        <v>45529</v>
      </c>
      <c r="C59" s="6">
        <v>0.56736111111111109</v>
      </c>
      <c r="D59" t="s">
        <v>282</v>
      </c>
      <c r="E59" t="s">
        <v>61</v>
      </c>
      <c r="F59">
        <v>64</v>
      </c>
      <c r="G59" t="s">
        <v>96</v>
      </c>
      <c r="H59" t="s">
        <v>55</v>
      </c>
      <c r="I59" t="s">
        <v>62</v>
      </c>
      <c r="K59">
        <v>25</v>
      </c>
      <c r="L59" t="s">
        <v>109</v>
      </c>
      <c r="M59" t="s">
        <v>69</v>
      </c>
    </row>
    <row r="60" spans="1:13" x14ac:dyDescent="0.3">
      <c r="A60" t="s">
        <v>283</v>
      </c>
      <c r="B60" s="5">
        <v>45530</v>
      </c>
      <c r="C60" s="6">
        <v>6.25E-2</v>
      </c>
      <c r="D60" t="s">
        <v>284</v>
      </c>
      <c r="E60" t="s">
        <v>61</v>
      </c>
      <c r="F60">
        <v>62</v>
      </c>
      <c r="G60" t="s">
        <v>96</v>
      </c>
      <c r="H60" t="s">
        <v>55</v>
      </c>
      <c r="I60" t="s">
        <v>62</v>
      </c>
      <c r="K60">
        <v>38</v>
      </c>
      <c r="L60" t="s">
        <v>109</v>
      </c>
      <c r="M60" t="s">
        <v>58</v>
      </c>
    </row>
    <row r="61" spans="1:13" x14ac:dyDescent="0.3">
      <c r="A61" t="s">
        <v>285</v>
      </c>
      <c r="B61" s="5">
        <v>45149</v>
      </c>
      <c r="C61" s="6">
        <v>0.9375</v>
      </c>
      <c r="D61" t="s">
        <v>286</v>
      </c>
      <c r="E61" t="s">
        <v>61</v>
      </c>
      <c r="F61">
        <v>64</v>
      </c>
      <c r="G61" t="s">
        <v>96</v>
      </c>
      <c r="H61" t="s">
        <v>55</v>
      </c>
      <c r="I61" t="s">
        <v>56</v>
      </c>
      <c r="K61">
        <v>17</v>
      </c>
      <c r="L61" t="s">
        <v>109</v>
      </c>
      <c r="M61" t="s">
        <v>69</v>
      </c>
    </row>
    <row r="62" spans="1:13" x14ac:dyDescent="0.3">
      <c r="A62" t="s">
        <v>287</v>
      </c>
      <c r="B62" s="5">
        <v>45505</v>
      </c>
      <c r="C62" s="6">
        <v>0.21458333333333332</v>
      </c>
      <c r="D62" t="s">
        <v>288</v>
      </c>
      <c r="E62" t="s">
        <v>61</v>
      </c>
      <c r="F62">
        <v>67</v>
      </c>
      <c r="G62" t="s">
        <v>96</v>
      </c>
      <c r="H62" t="s">
        <v>55</v>
      </c>
      <c r="I62" t="s">
        <v>56</v>
      </c>
      <c r="K62">
        <v>24</v>
      </c>
      <c r="L62" t="s">
        <v>109</v>
      </c>
      <c r="M62" t="s">
        <v>69</v>
      </c>
    </row>
    <row r="63" spans="1:13" x14ac:dyDescent="0.3">
      <c r="A63" t="s">
        <v>289</v>
      </c>
      <c r="B63" s="5">
        <v>45523</v>
      </c>
      <c r="C63" s="6">
        <v>0.57013888888888886</v>
      </c>
      <c r="D63" t="s">
        <v>290</v>
      </c>
      <c r="E63" t="s">
        <v>53</v>
      </c>
      <c r="F63">
        <v>64</v>
      </c>
      <c r="G63" t="s">
        <v>108</v>
      </c>
      <c r="H63" t="s">
        <v>55</v>
      </c>
      <c r="I63" t="s">
        <v>62</v>
      </c>
      <c r="K63">
        <v>15</v>
      </c>
      <c r="L63" t="s">
        <v>109</v>
      </c>
      <c r="M63" t="s">
        <v>69</v>
      </c>
    </row>
    <row r="64" spans="1:13" x14ac:dyDescent="0.3">
      <c r="A64" t="s">
        <v>291</v>
      </c>
      <c r="B64" s="5">
        <v>45528</v>
      </c>
      <c r="C64" s="6">
        <v>0.66388888888888886</v>
      </c>
      <c r="D64" t="s">
        <v>292</v>
      </c>
      <c r="E64" t="s">
        <v>61</v>
      </c>
      <c r="F64">
        <v>61</v>
      </c>
      <c r="G64" t="s">
        <v>108</v>
      </c>
      <c r="H64" t="s">
        <v>55</v>
      </c>
      <c r="I64" t="s">
        <v>62</v>
      </c>
      <c r="K64">
        <v>33</v>
      </c>
      <c r="L64" t="s">
        <v>109</v>
      </c>
      <c r="M64" t="s">
        <v>58</v>
      </c>
    </row>
    <row r="65" spans="1:13" x14ac:dyDescent="0.3">
      <c r="A65" t="s">
        <v>293</v>
      </c>
      <c r="B65" s="5">
        <v>45525</v>
      </c>
      <c r="C65" s="6">
        <v>0.37013888888888891</v>
      </c>
      <c r="D65" t="s">
        <v>294</v>
      </c>
      <c r="E65" t="s">
        <v>61</v>
      </c>
      <c r="F65">
        <v>67</v>
      </c>
      <c r="G65" t="s">
        <v>108</v>
      </c>
      <c r="H65" t="s">
        <v>55</v>
      </c>
      <c r="I65" t="s">
        <v>56</v>
      </c>
      <c r="K65">
        <v>46</v>
      </c>
      <c r="L65" t="s">
        <v>109</v>
      </c>
      <c r="M65" t="s">
        <v>58</v>
      </c>
    </row>
    <row r="66" spans="1:13" x14ac:dyDescent="0.3">
      <c r="A66" t="s">
        <v>295</v>
      </c>
      <c r="B66" s="5">
        <v>45529</v>
      </c>
      <c r="C66" s="6">
        <v>0.36458333333333331</v>
      </c>
      <c r="D66" t="s">
        <v>296</v>
      </c>
      <c r="E66" t="s">
        <v>53</v>
      </c>
      <c r="F66">
        <v>68</v>
      </c>
      <c r="G66" t="s">
        <v>108</v>
      </c>
      <c r="H66" t="s">
        <v>55</v>
      </c>
      <c r="I66" t="s">
        <v>56</v>
      </c>
      <c r="K66">
        <v>56</v>
      </c>
      <c r="L66" t="s">
        <v>109</v>
      </c>
      <c r="M66" t="s">
        <v>58</v>
      </c>
    </row>
    <row r="67" spans="1:13" x14ac:dyDescent="0.3">
      <c r="A67" t="s">
        <v>297</v>
      </c>
      <c r="B67" s="5">
        <v>45526</v>
      </c>
      <c r="C67" s="6">
        <v>0.74652777777777779</v>
      </c>
      <c r="D67" t="s">
        <v>298</v>
      </c>
      <c r="E67" t="s">
        <v>53</v>
      </c>
      <c r="F67">
        <v>61</v>
      </c>
      <c r="G67" t="s">
        <v>114</v>
      </c>
      <c r="H67" t="s">
        <v>55</v>
      </c>
      <c r="I67" t="s">
        <v>62</v>
      </c>
      <c r="K67">
        <v>15</v>
      </c>
      <c r="L67" t="s">
        <v>109</v>
      </c>
      <c r="M67" t="s">
        <v>69</v>
      </c>
    </row>
    <row r="68" spans="1:13" x14ac:dyDescent="0.3">
      <c r="A68" t="s">
        <v>299</v>
      </c>
      <c r="B68" s="5">
        <v>45161</v>
      </c>
      <c r="C68" s="6">
        <v>0.58958333333333335</v>
      </c>
      <c r="D68" t="s">
        <v>300</v>
      </c>
      <c r="E68" t="s">
        <v>61</v>
      </c>
      <c r="F68">
        <v>64</v>
      </c>
      <c r="G68" t="s">
        <v>114</v>
      </c>
      <c r="H68" t="s">
        <v>55</v>
      </c>
      <c r="I68" t="s">
        <v>56</v>
      </c>
      <c r="K68">
        <v>16</v>
      </c>
      <c r="L68" t="s">
        <v>109</v>
      </c>
      <c r="M68" t="s">
        <v>69</v>
      </c>
    </row>
    <row r="69" spans="1:13" x14ac:dyDescent="0.3">
      <c r="A69" t="s">
        <v>301</v>
      </c>
      <c r="B69" s="5">
        <v>45514</v>
      </c>
      <c r="C69" s="6">
        <v>0.79097222222222219</v>
      </c>
      <c r="D69" t="s">
        <v>302</v>
      </c>
      <c r="E69" t="s">
        <v>53</v>
      </c>
      <c r="F69">
        <v>67</v>
      </c>
      <c r="G69" t="s">
        <v>114</v>
      </c>
      <c r="H69" t="s">
        <v>55</v>
      </c>
      <c r="I69" t="s">
        <v>56</v>
      </c>
      <c r="K69">
        <v>44</v>
      </c>
      <c r="L69" t="s">
        <v>109</v>
      </c>
      <c r="M69" t="s">
        <v>58</v>
      </c>
    </row>
    <row r="70" spans="1:13" x14ac:dyDescent="0.3">
      <c r="A70" t="s">
        <v>303</v>
      </c>
      <c r="B70" s="5">
        <v>45151</v>
      </c>
      <c r="C70" s="6">
        <v>0.92777777777777781</v>
      </c>
      <c r="D70" t="s">
        <v>304</v>
      </c>
      <c r="E70" t="s">
        <v>61</v>
      </c>
      <c r="F70">
        <v>64</v>
      </c>
      <c r="G70" t="s">
        <v>114</v>
      </c>
      <c r="H70" t="s">
        <v>119</v>
      </c>
      <c r="I70" t="s">
        <v>56</v>
      </c>
      <c r="K70">
        <v>42</v>
      </c>
      <c r="L70" t="s">
        <v>109</v>
      </c>
      <c r="M70" t="s">
        <v>58</v>
      </c>
    </row>
    <row r="71" spans="1:13" x14ac:dyDescent="0.3">
      <c r="A71" t="s">
        <v>305</v>
      </c>
      <c r="B71" s="5">
        <v>45146</v>
      </c>
      <c r="C71" s="6">
        <v>0.21319444444444444</v>
      </c>
      <c r="D71" t="s">
        <v>306</v>
      </c>
      <c r="E71" t="s">
        <v>53</v>
      </c>
      <c r="F71">
        <v>61</v>
      </c>
      <c r="G71" t="s">
        <v>96</v>
      </c>
      <c r="H71" t="s">
        <v>119</v>
      </c>
      <c r="I71" t="s">
        <v>56</v>
      </c>
      <c r="K71">
        <v>32</v>
      </c>
      <c r="L71" t="s">
        <v>109</v>
      </c>
      <c r="M71" t="s">
        <v>58</v>
      </c>
    </row>
    <row r="72" spans="1:13" x14ac:dyDescent="0.3">
      <c r="A72" t="s">
        <v>307</v>
      </c>
      <c r="B72" s="5">
        <v>45524</v>
      </c>
      <c r="C72" s="6">
        <v>8.1250000000000003E-2</v>
      </c>
      <c r="D72" t="s">
        <v>308</v>
      </c>
      <c r="E72" t="s">
        <v>53</v>
      </c>
      <c r="F72">
        <v>65</v>
      </c>
      <c r="G72" t="s">
        <v>96</v>
      </c>
      <c r="H72" t="s">
        <v>119</v>
      </c>
      <c r="I72" t="s">
        <v>56</v>
      </c>
      <c r="K72">
        <v>24</v>
      </c>
      <c r="L72" t="s">
        <v>109</v>
      </c>
      <c r="M72" t="s">
        <v>69</v>
      </c>
    </row>
    <row r="73" spans="1:13" x14ac:dyDescent="0.3">
      <c r="A73" t="s">
        <v>309</v>
      </c>
      <c r="B73" s="5">
        <v>45516</v>
      </c>
      <c r="C73" s="6">
        <v>0.78611111111111109</v>
      </c>
      <c r="D73" t="s">
        <v>310</v>
      </c>
      <c r="E73" t="s">
        <v>53</v>
      </c>
      <c r="F73">
        <v>63</v>
      </c>
      <c r="G73" t="s">
        <v>96</v>
      </c>
      <c r="H73" t="s">
        <v>119</v>
      </c>
      <c r="I73" t="s">
        <v>62</v>
      </c>
      <c r="K73">
        <v>26</v>
      </c>
      <c r="L73" t="s">
        <v>109</v>
      </c>
      <c r="M73" t="s">
        <v>69</v>
      </c>
    </row>
    <row r="74" spans="1:13" x14ac:dyDescent="0.3">
      <c r="A74" t="s">
        <v>311</v>
      </c>
      <c r="B74" s="5">
        <v>45529</v>
      </c>
      <c r="C74" s="6">
        <v>0.66388888888888886</v>
      </c>
      <c r="D74" t="s">
        <v>312</v>
      </c>
      <c r="E74" t="s">
        <v>53</v>
      </c>
      <c r="F74">
        <v>69</v>
      </c>
      <c r="G74" t="s">
        <v>83</v>
      </c>
      <c r="H74" t="s">
        <v>119</v>
      </c>
      <c r="I74" t="s">
        <v>56</v>
      </c>
      <c r="K74">
        <v>32</v>
      </c>
      <c r="L74" t="s">
        <v>109</v>
      </c>
      <c r="M74" t="s">
        <v>58</v>
      </c>
    </row>
    <row r="75" spans="1:13" x14ac:dyDescent="0.3">
      <c r="A75" t="s">
        <v>313</v>
      </c>
      <c r="B75" s="5">
        <v>45531</v>
      </c>
      <c r="C75" s="6">
        <v>0.37152777777777779</v>
      </c>
      <c r="D75" t="s">
        <v>314</v>
      </c>
      <c r="E75" t="s">
        <v>61</v>
      </c>
      <c r="F75">
        <v>67</v>
      </c>
      <c r="G75" t="s">
        <v>83</v>
      </c>
      <c r="H75" t="s">
        <v>119</v>
      </c>
      <c r="I75" t="s">
        <v>56</v>
      </c>
      <c r="K75">
        <v>20</v>
      </c>
      <c r="L75" t="s">
        <v>109</v>
      </c>
      <c r="M75" t="s">
        <v>69</v>
      </c>
    </row>
    <row r="76" spans="1:13" x14ac:dyDescent="0.3">
      <c r="A76" t="s">
        <v>315</v>
      </c>
      <c r="B76" s="5">
        <v>45533</v>
      </c>
      <c r="C76" s="6">
        <v>0.34236111111111112</v>
      </c>
      <c r="D76" t="s">
        <v>316</v>
      </c>
      <c r="E76" t="s">
        <v>61</v>
      </c>
      <c r="F76">
        <v>65</v>
      </c>
      <c r="G76" t="s">
        <v>83</v>
      </c>
      <c r="H76" t="s">
        <v>119</v>
      </c>
      <c r="I76" t="s">
        <v>62</v>
      </c>
      <c r="K76">
        <v>57</v>
      </c>
      <c r="L76" t="s">
        <v>109</v>
      </c>
      <c r="M76" t="s">
        <v>58</v>
      </c>
    </row>
    <row r="77" spans="1:13" x14ac:dyDescent="0.3">
      <c r="A77" t="s">
        <v>317</v>
      </c>
      <c r="B77" s="5">
        <v>45150</v>
      </c>
      <c r="C77" s="6">
        <v>9.0972222222222218E-2</v>
      </c>
      <c r="D77" t="s">
        <v>318</v>
      </c>
      <c r="E77" t="s">
        <v>61</v>
      </c>
      <c r="F77">
        <v>68</v>
      </c>
      <c r="G77" t="s">
        <v>72</v>
      </c>
      <c r="H77" t="s">
        <v>119</v>
      </c>
      <c r="I77" t="s">
        <v>62</v>
      </c>
      <c r="K77">
        <v>17</v>
      </c>
      <c r="L77" t="s">
        <v>109</v>
      </c>
      <c r="M77" t="s">
        <v>69</v>
      </c>
    </row>
    <row r="78" spans="1:13" x14ac:dyDescent="0.3">
      <c r="A78" t="s">
        <v>319</v>
      </c>
      <c r="B78" s="5">
        <v>45150</v>
      </c>
      <c r="C78" s="6">
        <v>0.65833333333333333</v>
      </c>
      <c r="D78" t="s">
        <v>320</v>
      </c>
      <c r="E78" t="s">
        <v>61</v>
      </c>
      <c r="F78">
        <v>62</v>
      </c>
      <c r="G78" t="s">
        <v>72</v>
      </c>
      <c r="H78" t="s">
        <v>119</v>
      </c>
      <c r="I78" t="s">
        <v>62</v>
      </c>
      <c r="K78">
        <v>44</v>
      </c>
      <c r="L78" t="s">
        <v>109</v>
      </c>
      <c r="M78" t="s">
        <v>58</v>
      </c>
    </row>
    <row r="79" spans="1:13" x14ac:dyDescent="0.3">
      <c r="A79" t="s">
        <v>321</v>
      </c>
      <c r="B79" s="5">
        <v>45141</v>
      </c>
      <c r="C79" s="6">
        <v>0.57152777777777775</v>
      </c>
      <c r="D79" t="s">
        <v>322</v>
      </c>
      <c r="E79" t="s">
        <v>53</v>
      </c>
      <c r="F79">
        <v>61</v>
      </c>
      <c r="G79" t="s">
        <v>72</v>
      </c>
      <c r="H79" t="s">
        <v>119</v>
      </c>
      <c r="I79" t="s">
        <v>62</v>
      </c>
      <c r="K79">
        <v>41</v>
      </c>
      <c r="L79" t="s">
        <v>109</v>
      </c>
      <c r="M79" t="s">
        <v>58</v>
      </c>
    </row>
    <row r="80" spans="1:13" x14ac:dyDescent="0.3">
      <c r="A80" t="s">
        <v>323</v>
      </c>
      <c r="B80" s="5">
        <v>45147</v>
      </c>
      <c r="C80" s="6">
        <v>0.37152777777777779</v>
      </c>
      <c r="D80" t="s">
        <v>324</v>
      </c>
      <c r="E80" t="s">
        <v>53</v>
      </c>
      <c r="F80">
        <v>62</v>
      </c>
      <c r="G80" t="s">
        <v>72</v>
      </c>
      <c r="H80" t="s">
        <v>119</v>
      </c>
      <c r="I80" t="s">
        <v>62</v>
      </c>
      <c r="K80">
        <v>10</v>
      </c>
      <c r="L80" t="s">
        <v>109</v>
      </c>
      <c r="M80" t="s">
        <v>69</v>
      </c>
    </row>
    <row r="81" spans="1:13" x14ac:dyDescent="0.3">
      <c r="A81" t="s">
        <v>325</v>
      </c>
      <c r="B81" s="5">
        <v>45169</v>
      </c>
      <c r="C81" s="6">
        <v>0.41666666666666669</v>
      </c>
      <c r="D81" t="s">
        <v>326</v>
      </c>
      <c r="E81" t="s">
        <v>53</v>
      </c>
      <c r="F81">
        <v>64</v>
      </c>
      <c r="G81" t="s">
        <v>72</v>
      </c>
      <c r="H81" t="s">
        <v>119</v>
      </c>
      <c r="I81" t="s">
        <v>62</v>
      </c>
      <c r="K81">
        <v>59</v>
      </c>
      <c r="L81" t="s">
        <v>109</v>
      </c>
      <c r="M81" t="s">
        <v>58</v>
      </c>
    </row>
    <row r="82" spans="1:13" x14ac:dyDescent="0.3">
      <c r="A82" t="s">
        <v>327</v>
      </c>
      <c r="B82" s="5">
        <v>45143</v>
      </c>
      <c r="C82" s="6">
        <v>0.37013888888888891</v>
      </c>
      <c r="D82" t="s">
        <v>328</v>
      </c>
      <c r="E82" t="s">
        <v>53</v>
      </c>
      <c r="F82">
        <v>70</v>
      </c>
      <c r="G82" t="s">
        <v>66</v>
      </c>
      <c r="H82" t="s">
        <v>119</v>
      </c>
      <c r="I82" t="s">
        <v>62</v>
      </c>
      <c r="K82">
        <v>48</v>
      </c>
      <c r="L82" t="s">
        <v>109</v>
      </c>
      <c r="M82" t="s">
        <v>58</v>
      </c>
    </row>
    <row r="83" spans="1:13" x14ac:dyDescent="0.3">
      <c r="A83" t="s">
        <v>329</v>
      </c>
      <c r="B83" s="5">
        <v>45148</v>
      </c>
      <c r="C83" s="6">
        <v>0.47152777777777777</v>
      </c>
      <c r="D83" t="s">
        <v>330</v>
      </c>
      <c r="E83" t="s">
        <v>53</v>
      </c>
      <c r="F83">
        <v>70</v>
      </c>
      <c r="G83" t="s">
        <v>66</v>
      </c>
      <c r="H83" t="s">
        <v>119</v>
      </c>
      <c r="I83" t="s">
        <v>62</v>
      </c>
      <c r="K83">
        <v>60</v>
      </c>
      <c r="L83" t="s">
        <v>109</v>
      </c>
      <c r="M83" t="s">
        <v>58</v>
      </c>
    </row>
    <row r="84" spans="1:13" x14ac:dyDescent="0.3">
      <c r="A84" t="s">
        <v>331</v>
      </c>
      <c r="B84" s="5">
        <v>45506</v>
      </c>
      <c r="C84" s="6">
        <v>0.10972222222222222</v>
      </c>
      <c r="D84" t="s">
        <v>332</v>
      </c>
      <c r="E84" t="s">
        <v>53</v>
      </c>
      <c r="F84">
        <v>62</v>
      </c>
      <c r="G84" t="s">
        <v>66</v>
      </c>
      <c r="H84" t="s">
        <v>119</v>
      </c>
      <c r="I84" t="s">
        <v>56</v>
      </c>
      <c r="K84">
        <v>31</v>
      </c>
      <c r="L84" t="s">
        <v>109</v>
      </c>
      <c r="M84" t="s">
        <v>58</v>
      </c>
    </row>
    <row r="85" spans="1:13" x14ac:dyDescent="0.3">
      <c r="A85" t="s">
        <v>333</v>
      </c>
      <c r="B85" s="5">
        <v>45149</v>
      </c>
      <c r="C85" s="6">
        <v>0.26250000000000001</v>
      </c>
      <c r="D85" t="s">
        <v>334</v>
      </c>
      <c r="E85" t="s">
        <v>61</v>
      </c>
      <c r="F85">
        <v>62</v>
      </c>
      <c r="G85" t="s">
        <v>66</v>
      </c>
      <c r="H85" t="s">
        <v>119</v>
      </c>
      <c r="I85" t="s">
        <v>62</v>
      </c>
      <c r="K85">
        <v>59</v>
      </c>
      <c r="L85" t="s">
        <v>109</v>
      </c>
      <c r="M85" t="s">
        <v>58</v>
      </c>
    </row>
    <row r="86" spans="1:13" x14ac:dyDescent="0.3">
      <c r="A86" t="s">
        <v>335</v>
      </c>
      <c r="B86" s="5">
        <v>45511</v>
      </c>
      <c r="C86" s="6">
        <v>0.17291666666666666</v>
      </c>
      <c r="D86" t="s">
        <v>336</v>
      </c>
      <c r="E86" t="s">
        <v>61</v>
      </c>
      <c r="F86">
        <v>69</v>
      </c>
      <c r="G86" t="s">
        <v>66</v>
      </c>
      <c r="H86" t="s">
        <v>119</v>
      </c>
      <c r="I86" t="s">
        <v>62</v>
      </c>
      <c r="K86">
        <v>32</v>
      </c>
      <c r="L86" t="s">
        <v>109</v>
      </c>
      <c r="M86" t="s">
        <v>58</v>
      </c>
    </row>
    <row r="87" spans="1:13" x14ac:dyDescent="0.3">
      <c r="A87" t="s">
        <v>337</v>
      </c>
      <c r="B87" s="5">
        <v>45163</v>
      </c>
      <c r="C87" s="6">
        <v>0.1423611111111111</v>
      </c>
      <c r="D87" t="s">
        <v>338</v>
      </c>
      <c r="E87" t="s">
        <v>53</v>
      </c>
      <c r="F87">
        <v>64</v>
      </c>
      <c r="G87" t="s">
        <v>54</v>
      </c>
      <c r="H87" t="s">
        <v>119</v>
      </c>
      <c r="I87" t="s">
        <v>56</v>
      </c>
      <c r="K87">
        <v>13</v>
      </c>
      <c r="L87" t="s">
        <v>109</v>
      </c>
      <c r="M87" t="s">
        <v>69</v>
      </c>
    </row>
    <row r="88" spans="1:13" x14ac:dyDescent="0.3">
      <c r="A88" t="s">
        <v>339</v>
      </c>
      <c r="B88" s="5">
        <v>45528</v>
      </c>
      <c r="C88" s="6">
        <v>0.67500000000000004</v>
      </c>
      <c r="D88" t="s">
        <v>340</v>
      </c>
      <c r="E88" t="s">
        <v>53</v>
      </c>
      <c r="F88">
        <v>69</v>
      </c>
      <c r="G88" t="s">
        <v>54</v>
      </c>
      <c r="H88" t="s">
        <v>119</v>
      </c>
      <c r="I88" t="s">
        <v>56</v>
      </c>
      <c r="K88">
        <v>13</v>
      </c>
      <c r="L88" t="s">
        <v>109</v>
      </c>
      <c r="M88" t="s">
        <v>69</v>
      </c>
    </row>
    <row r="89" spans="1:13" x14ac:dyDescent="0.3">
      <c r="A89" t="s">
        <v>341</v>
      </c>
      <c r="B89" s="5">
        <v>45157</v>
      </c>
      <c r="C89" s="6">
        <v>0.64861111111111114</v>
      </c>
      <c r="D89" t="s">
        <v>342</v>
      </c>
      <c r="E89" t="s">
        <v>61</v>
      </c>
      <c r="F89">
        <v>65</v>
      </c>
      <c r="G89" t="s">
        <v>54</v>
      </c>
      <c r="H89" t="s">
        <v>119</v>
      </c>
      <c r="I89" t="s">
        <v>56</v>
      </c>
      <c r="K89">
        <v>15</v>
      </c>
      <c r="L89" t="s">
        <v>109</v>
      </c>
      <c r="M89" t="s">
        <v>69</v>
      </c>
    </row>
    <row r="90" spans="1:13" x14ac:dyDescent="0.3">
      <c r="A90" t="s">
        <v>343</v>
      </c>
      <c r="B90" s="5">
        <v>45165</v>
      </c>
      <c r="C90" s="6">
        <v>0.28819444444444442</v>
      </c>
      <c r="D90" t="s">
        <v>344</v>
      </c>
      <c r="E90" t="s">
        <v>61</v>
      </c>
      <c r="F90">
        <v>61</v>
      </c>
      <c r="G90" t="s">
        <v>54</v>
      </c>
      <c r="H90" t="s">
        <v>119</v>
      </c>
      <c r="I90" t="s">
        <v>56</v>
      </c>
      <c r="K90">
        <v>21</v>
      </c>
      <c r="L90" t="s">
        <v>109</v>
      </c>
      <c r="M90" t="s">
        <v>69</v>
      </c>
    </row>
    <row r="91" spans="1:13" x14ac:dyDescent="0.3">
      <c r="A91" t="s">
        <v>345</v>
      </c>
      <c r="B91" s="5">
        <v>45527</v>
      </c>
      <c r="C91" s="6">
        <v>0.38333333333333336</v>
      </c>
      <c r="D91" t="s">
        <v>346</v>
      </c>
      <c r="E91" t="s">
        <v>61</v>
      </c>
      <c r="F91">
        <v>61</v>
      </c>
      <c r="G91" t="s">
        <v>54</v>
      </c>
      <c r="H91" t="s">
        <v>119</v>
      </c>
      <c r="I91" t="s">
        <v>56</v>
      </c>
      <c r="K91">
        <v>28</v>
      </c>
      <c r="L91" t="s">
        <v>109</v>
      </c>
      <c r="M91" t="s">
        <v>69</v>
      </c>
    </row>
    <row r="92" spans="1:13" x14ac:dyDescent="0.3">
      <c r="A92" t="s">
        <v>347</v>
      </c>
      <c r="B92" s="5">
        <v>45509</v>
      </c>
      <c r="C92" s="6">
        <v>0.78888888888888886</v>
      </c>
      <c r="D92" t="s">
        <v>348</v>
      </c>
      <c r="E92" t="s">
        <v>53</v>
      </c>
      <c r="F92">
        <v>69</v>
      </c>
      <c r="G92" t="s">
        <v>54</v>
      </c>
      <c r="H92" t="s">
        <v>119</v>
      </c>
      <c r="I92" t="s">
        <v>62</v>
      </c>
      <c r="K92">
        <v>30</v>
      </c>
      <c r="L92" t="s">
        <v>109</v>
      </c>
      <c r="M92" t="s">
        <v>69</v>
      </c>
    </row>
    <row r="93" spans="1:13" x14ac:dyDescent="0.3">
      <c r="A93" t="s">
        <v>349</v>
      </c>
      <c r="B93" s="5">
        <v>45141</v>
      </c>
      <c r="C93" s="6">
        <v>0.61250000000000004</v>
      </c>
      <c r="D93" t="s">
        <v>350</v>
      </c>
      <c r="E93" t="s">
        <v>53</v>
      </c>
      <c r="F93">
        <v>70</v>
      </c>
      <c r="G93" t="s">
        <v>54</v>
      </c>
      <c r="H93" t="s">
        <v>132</v>
      </c>
      <c r="I93" t="s">
        <v>62</v>
      </c>
      <c r="K93">
        <v>19</v>
      </c>
      <c r="L93" t="s">
        <v>109</v>
      </c>
      <c r="M93" t="s">
        <v>69</v>
      </c>
    </row>
    <row r="94" spans="1:13" x14ac:dyDescent="0.3">
      <c r="A94" t="s">
        <v>351</v>
      </c>
      <c r="B94" s="5">
        <v>45151</v>
      </c>
      <c r="C94" s="6">
        <v>0.61944444444444446</v>
      </c>
      <c r="D94" t="s">
        <v>352</v>
      </c>
      <c r="E94" t="s">
        <v>61</v>
      </c>
      <c r="F94">
        <v>62</v>
      </c>
      <c r="G94" t="s">
        <v>54</v>
      </c>
      <c r="H94" t="s">
        <v>132</v>
      </c>
      <c r="I94" t="s">
        <v>62</v>
      </c>
      <c r="K94">
        <v>16</v>
      </c>
      <c r="L94" t="s">
        <v>109</v>
      </c>
      <c r="M94" t="s">
        <v>69</v>
      </c>
    </row>
    <row r="95" spans="1:13" x14ac:dyDescent="0.3">
      <c r="A95" t="s">
        <v>353</v>
      </c>
      <c r="B95" s="5">
        <v>45529</v>
      </c>
      <c r="C95" s="6">
        <v>0.23402777777777778</v>
      </c>
      <c r="D95" t="s">
        <v>354</v>
      </c>
      <c r="E95" t="s">
        <v>53</v>
      </c>
      <c r="F95">
        <v>68</v>
      </c>
      <c r="G95" t="s">
        <v>54</v>
      </c>
      <c r="H95" t="s">
        <v>132</v>
      </c>
      <c r="I95" t="s">
        <v>62</v>
      </c>
      <c r="K95">
        <v>57</v>
      </c>
      <c r="L95" t="s">
        <v>109</v>
      </c>
      <c r="M95" t="s">
        <v>58</v>
      </c>
    </row>
    <row r="96" spans="1:13" x14ac:dyDescent="0.3">
      <c r="A96" t="s">
        <v>355</v>
      </c>
      <c r="B96" s="5">
        <v>45533</v>
      </c>
      <c r="C96" s="6">
        <v>0.26458333333333334</v>
      </c>
      <c r="D96" t="s">
        <v>356</v>
      </c>
      <c r="E96" t="s">
        <v>53</v>
      </c>
      <c r="F96">
        <v>64</v>
      </c>
      <c r="G96" t="s">
        <v>54</v>
      </c>
      <c r="H96" t="s">
        <v>132</v>
      </c>
      <c r="I96" t="s">
        <v>62</v>
      </c>
      <c r="K96">
        <v>43</v>
      </c>
      <c r="L96" t="s">
        <v>109</v>
      </c>
      <c r="M96" t="s">
        <v>58</v>
      </c>
    </row>
    <row r="97" spans="1:13" x14ac:dyDescent="0.3">
      <c r="A97" t="s">
        <v>357</v>
      </c>
      <c r="B97" s="5">
        <v>45154</v>
      </c>
      <c r="C97" s="6">
        <v>0.32013888888888886</v>
      </c>
      <c r="D97" t="s">
        <v>358</v>
      </c>
      <c r="E97" t="s">
        <v>61</v>
      </c>
      <c r="F97">
        <v>67</v>
      </c>
      <c r="G97" t="s">
        <v>54</v>
      </c>
      <c r="H97" t="s">
        <v>132</v>
      </c>
      <c r="I97" t="s">
        <v>56</v>
      </c>
      <c r="K97">
        <v>17</v>
      </c>
      <c r="L97" t="s">
        <v>109</v>
      </c>
      <c r="M97" t="s">
        <v>69</v>
      </c>
    </row>
    <row r="98" spans="1:13" x14ac:dyDescent="0.3">
      <c r="A98" t="s">
        <v>359</v>
      </c>
      <c r="B98" s="5">
        <v>45518</v>
      </c>
      <c r="C98" s="6">
        <v>0.79513888888888884</v>
      </c>
      <c r="D98" t="s">
        <v>360</v>
      </c>
      <c r="E98" t="s">
        <v>61</v>
      </c>
      <c r="F98">
        <v>68</v>
      </c>
      <c r="G98" t="s">
        <v>66</v>
      </c>
      <c r="H98" t="s">
        <v>132</v>
      </c>
      <c r="I98" t="s">
        <v>56</v>
      </c>
      <c r="K98">
        <v>28</v>
      </c>
      <c r="L98" t="s">
        <v>109</v>
      </c>
      <c r="M98" t="s">
        <v>69</v>
      </c>
    </row>
    <row r="99" spans="1:13" x14ac:dyDescent="0.3">
      <c r="A99" t="s">
        <v>361</v>
      </c>
      <c r="B99" s="5">
        <v>45521</v>
      </c>
      <c r="C99" s="6">
        <v>0.8979166666666667</v>
      </c>
      <c r="D99" t="s">
        <v>362</v>
      </c>
      <c r="E99" t="s">
        <v>53</v>
      </c>
      <c r="F99">
        <v>66</v>
      </c>
      <c r="G99" t="s">
        <v>66</v>
      </c>
      <c r="H99" t="s">
        <v>132</v>
      </c>
      <c r="I99" t="s">
        <v>62</v>
      </c>
      <c r="K99">
        <v>52</v>
      </c>
      <c r="L99" t="s">
        <v>109</v>
      </c>
      <c r="M99" t="s">
        <v>58</v>
      </c>
    </row>
    <row r="100" spans="1:13" x14ac:dyDescent="0.3">
      <c r="A100" t="s">
        <v>363</v>
      </c>
      <c r="B100" s="5">
        <v>45507</v>
      </c>
      <c r="C100" s="6">
        <v>6.0416666666666667E-2</v>
      </c>
      <c r="D100" t="s">
        <v>364</v>
      </c>
      <c r="E100" t="s">
        <v>61</v>
      </c>
      <c r="F100">
        <v>61</v>
      </c>
      <c r="G100" t="s">
        <v>72</v>
      </c>
      <c r="H100" t="s">
        <v>132</v>
      </c>
      <c r="I100" t="s">
        <v>56</v>
      </c>
      <c r="K100">
        <v>18</v>
      </c>
      <c r="L100" t="s">
        <v>109</v>
      </c>
      <c r="M100" t="s">
        <v>69</v>
      </c>
    </row>
    <row r="101" spans="1:13" x14ac:dyDescent="0.3">
      <c r="A101" t="s">
        <v>365</v>
      </c>
      <c r="B101" s="5">
        <v>45519</v>
      </c>
      <c r="C101" s="6">
        <v>0.23680555555555555</v>
      </c>
      <c r="D101" t="s">
        <v>366</v>
      </c>
      <c r="E101" t="s">
        <v>53</v>
      </c>
      <c r="F101">
        <v>69</v>
      </c>
      <c r="G101" t="s">
        <v>83</v>
      </c>
      <c r="H101" t="s">
        <v>132</v>
      </c>
      <c r="I101" t="s">
        <v>62</v>
      </c>
      <c r="K101">
        <v>45</v>
      </c>
      <c r="L101" t="s">
        <v>109</v>
      </c>
      <c r="M101" t="s">
        <v>58</v>
      </c>
    </row>
    <row r="102" spans="1:13" x14ac:dyDescent="0.3">
      <c r="A102" t="s">
        <v>367</v>
      </c>
      <c r="B102" s="5">
        <v>45528</v>
      </c>
      <c r="C102" s="6">
        <v>0.73541666666666672</v>
      </c>
      <c r="D102" t="s">
        <v>368</v>
      </c>
      <c r="E102" t="s">
        <v>61</v>
      </c>
      <c r="F102">
        <v>66</v>
      </c>
      <c r="G102" t="s">
        <v>83</v>
      </c>
      <c r="H102" t="s">
        <v>132</v>
      </c>
      <c r="I102" t="s">
        <v>56</v>
      </c>
      <c r="K102">
        <v>13</v>
      </c>
      <c r="L102" t="s">
        <v>109</v>
      </c>
      <c r="M102" t="s">
        <v>69</v>
      </c>
    </row>
    <row r="103" spans="1:13" x14ac:dyDescent="0.3">
      <c r="A103" t="s">
        <v>369</v>
      </c>
      <c r="B103" s="5">
        <v>45520</v>
      </c>
      <c r="C103" s="6">
        <v>0.6743055555555556</v>
      </c>
      <c r="D103" t="s">
        <v>370</v>
      </c>
      <c r="E103" t="s">
        <v>61</v>
      </c>
      <c r="F103">
        <v>64</v>
      </c>
      <c r="G103" t="s">
        <v>96</v>
      </c>
      <c r="H103" t="s">
        <v>132</v>
      </c>
      <c r="I103" t="s">
        <v>56</v>
      </c>
      <c r="K103">
        <v>51</v>
      </c>
      <c r="L103" t="s">
        <v>109</v>
      </c>
      <c r="M103" t="s">
        <v>58</v>
      </c>
    </row>
    <row r="104" spans="1:13" x14ac:dyDescent="0.3">
      <c r="A104" t="s">
        <v>371</v>
      </c>
      <c r="B104" s="5">
        <v>45145</v>
      </c>
      <c r="C104" s="6">
        <v>0.63958333333333328</v>
      </c>
      <c r="D104" t="s">
        <v>372</v>
      </c>
      <c r="E104" t="s">
        <v>53</v>
      </c>
      <c r="F104">
        <v>61</v>
      </c>
      <c r="G104" t="s">
        <v>108</v>
      </c>
      <c r="H104" t="s">
        <v>132</v>
      </c>
      <c r="I104" t="s">
        <v>62</v>
      </c>
      <c r="K104">
        <v>44</v>
      </c>
      <c r="L104" t="s">
        <v>109</v>
      </c>
      <c r="M104" t="s">
        <v>58</v>
      </c>
    </row>
    <row r="105" spans="1:13" x14ac:dyDescent="0.3">
      <c r="A105" t="s">
        <v>373</v>
      </c>
      <c r="B105" s="5">
        <v>45167</v>
      </c>
      <c r="C105" s="6">
        <v>0.59375</v>
      </c>
      <c r="D105" t="s">
        <v>374</v>
      </c>
      <c r="E105" t="s">
        <v>53</v>
      </c>
      <c r="F105">
        <v>67</v>
      </c>
      <c r="G105" t="s">
        <v>66</v>
      </c>
      <c r="H105" t="s">
        <v>141</v>
      </c>
      <c r="I105" t="s">
        <v>56</v>
      </c>
      <c r="K105">
        <v>30</v>
      </c>
      <c r="L105" t="s">
        <v>109</v>
      </c>
      <c r="M105" t="s">
        <v>69</v>
      </c>
    </row>
    <row r="106" spans="1:13" x14ac:dyDescent="0.3">
      <c r="A106" t="s">
        <v>375</v>
      </c>
      <c r="B106" s="5">
        <v>45505</v>
      </c>
      <c r="C106" s="6">
        <v>0.85972222222222228</v>
      </c>
      <c r="D106" t="s">
        <v>376</v>
      </c>
      <c r="E106" t="s">
        <v>53</v>
      </c>
      <c r="F106">
        <v>61</v>
      </c>
      <c r="G106" t="s">
        <v>72</v>
      </c>
      <c r="H106" t="s">
        <v>141</v>
      </c>
      <c r="I106" t="s">
        <v>62</v>
      </c>
      <c r="K106">
        <v>27</v>
      </c>
      <c r="L106" t="s">
        <v>109</v>
      </c>
      <c r="M106" t="s">
        <v>69</v>
      </c>
    </row>
    <row r="107" spans="1:13" x14ac:dyDescent="0.3">
      <c r="A107" t="s">
        <v>377</v>
      </c>
      <c r="B107" s="5">
        <v>45514</v>
      </c>
      <c r="C107" s="6">
        <v>0.36180555555555555</v>
      </c>
      <c r="D107" t="s">
        <v>378</v>
      </c>
      <c r="E107" t="s">
        <v>61</v>
      </c>
      <c r="F107">
        <v>67</v>
      </c>
      <c r="G107" t="s">
        <v>83</v>
      </c>
      <c r="H107" t="s">
        <v>141</v>
      </c>
      <c r="I107" t="s">
        <v>62</v>
      </c>
      <c r="K107">
        <v>42</v>
      </c>
      <c r="L107" t="s">
        <v>109</v>
      </c>
      <c r="M107" t="s">
        <v>58</v>
      </c>
    </row>
    <row r="108" spans="1:13" x14ac:dyDescent="0.3">
      <c r="A108" t="s">
        <v>379</v>
      </c>
      <c r="B108" s="5">
        <v>45524</v>
      </c>
      <c r="C108" s="6">
        <v>0.85833333333333328</v>
      </c>
      <c r="D108" t="s">
        <v>380</v>
      </c>
      <c r="E108" t="s">
        <v>53</v>
      </c>
      <c r="F108">
        <v>68</v>
      </c>
      <c r="G108" t="s">
        <v>66</v>
      </c>
      <c r="H108" t="s">
        <v>141</v>
      </c>
      <c r="I108" t="s">
        <v>56</v>
      </c>
      <c r="K108">
        <v>26</v>
      </c>
      <c r="L108" t="s">
        <v>109</v>
      </c>
      <c r="M108" t="s">
        <v>69</v>
      </c>
    </row>
    <row r="109" spans="1:13" x14ac:dyDescent="0.3">
      <c r="A109" t="s">
        <v>381</v>
      </c>
      <c r="B109" s="5">
        <v>45532</v>
      </c>
      <c r="C109" s="6">
        <v>0.12847222222222221</v>
      </c>
      <c r="D109" t="s">
        <v>382</v>
      </c>
      <c r="E109" t="s">
        <v>53</v>
      </c>
      <c r="F109">
        <v>67</v>
      </c>
      <c r="G109" t="s">
        <v>54</v>
      </c>
      <c r="H109" t="s">
        <v>141</v>
      </c>
      <c r="I109" t="s">
        <v>62</v>
      </c>
      <c r="K109">
        <v>56</v>
      </c>
      <c r="L109" t="s">
        <v>109</v>
      </c>
      <c r="M109" t="s">
        <v>58</v>
      </c>
    </row>
    <row r="110" spans="1:13" x14ac:dyDescent="0.3">
      <c r="A110" t="s">
        <v>383</v>
      </c>
      <c r="B110" s="5">
        <v>45143</v>
      </c>
      <c r="C110" s="6">
        <v>0.19166666666666668</v>
      </c>
      <c r="D110" t="s">
        <v>384</v>
      </c>
      <c r="E110" t="s">
        <v>61</v>
      </c>
      <c r="F110">
        <v>70</v>
      </c>
      <c r="G110" t="s">
        <v>66</v>
      </c>
      <c r="H110" t="s">
        <v>144</v>
      </c>
      <c r="I110" t="s">
        <v>62</v>
      </c>
      <c r="K110">
        <v>55</v>
      </c>
      <c r="L110" t="s">
        <v>109</v>
      </c>
      <c r="M110" t="s">
        <v>58</v>
      </c>
    </row>
    <row r="111" spans="1:13" x14ac:dyDescent="0.3">
      <c r="A111" t="s">
        <v>385</v>
      </c>
      <c r="B111" s="5">
        <v>45168</v>
      </c>
      <c r="C111" s="6">
        <v>0.92083333333333328</v>
      </c>
      <c r="D111" t="s">
        <v>386</v>
      </c>
      <c r="E111" t="s">
        <v>53</v>
      </c>
      <c r="F111">
        <v>61</v>
      </c>
      <c r="G111" t="s">
        <v>54</v>
      </c>
      <c r="H111" t="s">
        <v>144</v>
      </c>
      <c r="I111" t="s">
        <v>56</v>
      </c>
      <c r="K111">
        <v>16</v>
      </c>
      <c r="L111" t="s">
        <v>109</v>
      </c>
      <c r="M111" t="s">
        <v>69</v>
      </c>
    </row>
    <row r="112" spans="1:13" x14ac:dyDescent="0.3">
      <c r="A112" t="s">
        <v>387</v>
      </c>
      <c r="B112" s="5">
        <v>45525</v>
      </c>
      <c r="C112" s="6">
        <v>0.2298611111111111</v>
      </c>
      <c r="D112" t="s">
        <v>388</v>
      </c>
      <c r="E112" t="s">
        <v>53</v>
      </c>
      <c r="F112">
        <v>62</v>
      </c>
      <c r="G112" t="s">
        <v>54</v>
      </c>
      <c r="H112" t="s">
        <v>144</v>
      </c>
      <c r="I112" t="s">
        <v>62</v>
      </c>
      <c r="K112">
        <v>28</v>
      </c>
      <c r="L112" t="s">
        <v>109</v>
      </c>
      <c r="M112" t="s">
        <v>69</v>
      </c>
    </row>
    <row r="113" spans="1:13" x14ac:dyDescent="0.3">
      <c r="A113" t="s">
        <v>389</v>
      </c>
      <c r="B113" s="5">
        <v>45154</v>
      </c>
      <c r="C113" s="6">
        <v>0.86041666666666672</v>
      </c>
      <c r="D113" t="s">
        <v>390</v>
      </c>
      <c r="E113" t="s">
        <v>53</v>
      </c>
      <c r="F113">
        <v>63</v>
      </c>
      <c r="G113" t="s">
        <v>72</v>
      </c>
      <c r="H113" t="s">
        <v>152</v>
      </c>
      <c r="I113" t="s">
        <v>62</v>
      </c>
      <c r="K113">
        <v>27</v>
      </c>
      <c r="L113" t="s">
        <v>109</v>
      </c>
      <c r="M113" t="s">
        <v>69</v>
      </c>
    </row>
    <row r="114" spans="1:13" x14ac:dyDescent="0.3">
      <c r="A114" t="s">
        <v>391</v>
      </c>
      <c r="B114" s="5">
        <v>45152</v>
      </c>
      <c r="C114" s="6">
        <v>0.24027777777777778</v>
      </c>
      <c r="D114" t="s">
        <v>392</v>
      </c>
      <c r="E114" t="s">
        <v>53</v>
      </c>
      <c r="F114">
        <v>66</v>
      </c>
      <c r="G114" t="s">
        <v>83</v>
      </c>
      <c r="H114" t="s">
        <v>147</v>
      </c>
      <c r="I114" t="s">
        <v>62</v>
      </c>
      <c r="K114">
        <v>49</v>
      </c>
      <c r="L114" t="s">
        <v>109</v>
      </c>
      <c r="M114" t="s">
        <v>58</v>
      </c>
    </row>
    <row r="115" spans="1:13" x14ac:dyDescent="0.3">
      <c r="A115" t="s">
        <v>393</v>
      </c>
      <c r="B115" s="5">
        <v>45147</v>
      </c>
      <c r="C115" s="6">
        <v>0.85416666666666663</v>
      </c>
      <c r="D115" t="s">
        <v>394</v>
      </c>
      <c r="E115" t="s">
        <v>61</v>
      </c>
      <c r="F115">
        <v>65</v>
      </c>
      <c r="G115" t="s">
        <v>72</v>
      </c>
      <c r="H115" t="s">
        <v>395</v>
      </c>
      <c r="I115" t="s">
        <v>56</v>
      </c>
      <c r="J115">
        <v>8</v>
      </c>
      <c r="K115">
        <v>26</v>
      </c>
      <c r="L115" t="s">
        <v>109</v>
      </c>
      <c r="M115" t="s">
        <v>69</v>
      </c>
    </row>
    <row r="116" spans="1:13" x14ac:dyDescent="0.3">
      <c r="A116" t="s">
        <v>396</v>
      </c>
      <c r="B116" s="5">
        <v>45506</v>
      </c>
      <c r="C116" s="6">
        <v>0.69027777777777777</v>
      </c>
      <c r="D116" t="s">
        <v>397</v>
      </c>
      <c r="E116" t="s">
        <v>53</v>
      </c>
      <c r="F116">
        <v>61</v>
      </c>
      <c r="G116" t="s">
        <v>54</v>
      </c>
      <c r="H116" t="s">
        <v>147</v>
      </c>
      <c r="I116" t="s">
        <v>56</v>
      </c>
      <c r="J116">
        <v>10</v>
      </c>
      <c r="K116">
        <v>18</v>
      </c>
      <c r="L116" t="s">
        <v>109</v>
      </c>
      <c r="M116" t="s">
        <v>69</v>
      </c>
    </row>
    <row r="117" spans="1:13" x14ac:dyDescent="0.3">
      <c r="A117" t="s">
        <v>398</v>
      </c>
      <c r="B117" s="5">
        <v>45535</v>
      </c>
      <c r="C117" s="6">
        <v>0.39861111111111114</v>
      </c>
      <c r="D117" t="s">
        <v>399</v>
      </c>
      <c r="E117" t="s">
        <v>61</v>
      </c>
      <c r="F117">
        <v>67</v>
      </c>
      <c r="G117" t="s">
        <v>54</v>
      </c>
      <c r="H117" t="s">
        <v>141</v>
      </c>
      <c r="I117" t="s">
        <v>62</v>
      </c>
      <c r="J117">
        <v>2</v>
      </c>
      <c r="K117">
        <v>47</v>
      </c>
      <c r="L117" t="s">
        <v>109</v>
      </c>
      <c r="M117" t="s">
        <v>58</v>
      </c>
    </row>
    <row r="118" spans="1:13" x14ac:dyDescent="0.3">
      <c r="A118" t="s">
        <v>400</v>
      </c>
      <c r="B118" s="5">
        <v>45532</v>
      </c>
      <c r="C118" s="6">
        <v>0.93958333333333333</v>
      </c>
      <c r="D118" t="s">
        <v>401</v>
      </c>
      <c r="E118" t="s">
        <v>53</v>
      </c>
      <c r="F118">
        <v>64</v>
      </c>
      <c r="G118" t="s">
        <v>66</v>
      </c>
      <c r="H118" t="s">
        <v>132</v>
      </c>
      <c r="I118" t="s">
        <v>62</v>
      </c>
      <c r="J118">
        <v>3</v>
      </c>
      <c r="K118">
        <v>34</v>
      </c>
      <c r="L118" t="s">
        <v>109</v>
      </c>
      <c r="M118" t="s">
        <v>58</v>
      </c>
    </row>
    <row r="119" spans="1:13" x14ac:dyDescent="0.3">
      <c r="A119" t="s">
        <v>402</v>
      </c>
      <c r="B119" s="5">
        <v>45507</v>
      </c>
      <c r="C119" s="6">
        <v>0.35</v>
      </c>
      <c r="D119" t="s">
        <v>403</v>
      </c>
      <c r="E119" t="s">
        <v>61</v>
      </c>
      <c r="F119">
        <v>61</v>
      </c>
      <c r="G119" t="s">
        <v>83</v>
      </c>
      <c r="H119" t="s">
        <v>132</v>
      </c>
      <c r="I119" t="s">
        <v>56</v>
      </c>
      <c r="J119">
        <v>7</v>
      </c>
      <c r="K119">
        <v>52</v>
      </c>
      <c r="L119" t="s">
        <v>109</v>
      </c>
      <c r="M119" t="s">
        <v>58</v>
      </c>
    </row>
    <row r="120" spans="1:13" x14ac:dyDescent="0.3">
      <c r="A120" t="s">
        <v>404</v>
      </c>
      <c r="B120" s="5">
        <v>45530</v>
      </c>
      <c r="C120" s="6">
        <v>0.26944444444444443</v>
      </c>
      <c r="D120" t="s">
        <v>405</v>
      </c>
      <c r="E120" t="s">
        <v>61</v>
      </c>
      <c r="F120">
        <v>67</v>
      </c>
      <c r="G120" t="s">
        <v>83</v>
      </c>
      <c r="H120" t="s">
        <v>132</v>
      </c>
      <c r="I120" t="s">
        <v>62</v>
      </c>
      <c r="J120">
        <v>0</v>
      </c>
      <c r="K120">
        <v>29</v>
      </c>
      <c r="L120" t="s">
        <v>109</v>
      </c>
      <c r="M120" t="s">
        <v>69</v>
      </c>
    </row>
    <row r="121" spans="1:13" x14ac:dyDescent="0.3">
      <c r="A121" t="s">
        <v>406</v>
      </c>
      <c r="B121" s="5">
        <v>45163</v>
      </c>
      <c r="C121" s="6">
        <v>0.77152777777777781</v>
      </c>
      <c r="D121" t="s">
        <v>407</v>
      </c>
      <c r="E121" t="s">
        <v>53</v>
      </c>
      <c r="F121">
        <v>68</v>
      </c>
      <c r="G121" t="s">
        <v>72</v>
      </c>
      <c r="H121" t="s">
        <v>119</v>
      </c>
      <c r="I121" t="s">
        <v>56</v>
      </c>
      <c r="J121">
        <v>3</v>
      </c>
      <c r="K121">
        <v>12</v>
      </c>
      <c r="L121" t="s">
        <v>109</v>
      </c>
      <c r="M121" t="s">
        <v>69</v>
      </c>
    </row>
    <row r="122" spans="1:13" x14ac:dyDescent="0.3">
      <c r="A122" t="s">
        <v>408</v>
      </c>
      <c r="B122" s="5">
        <v>45525</v>
      </c>
      <c r="C122" s="6">
        <v>0.14791666666666667</v>
      </c>
      <c r="D122" t="s">
        <v>409</v>
      </c>
      <c r="E122" t="s">
        <v>61</v>
      </c>
      <c r="F122">
        <v>67</v>
      </c>
      <c r="G122" t="s">
        <v>96</v>
      </c>
      <c r="H122" t="s">
        <v>119</v>
      </c>
      <c r="I122" t="s">
        <v>56</v>
      </c>
      <c r="J122">
        <v>5</v>
      </c>
      <c r="K122">
        <v>60</v>
      </c>
      <c r="L122" t="s">
        <v>109</v>
      </c>
      <c r="M122" t="s">
        <v>58</v>
      </c>
    </row>
    <row r="123" spans="1:13" x14ac:dyDescent="0.3">
      <c r="A123" t="s">
        <v>410</v>
      </c>
      <c r="B123" s="5">
        <v>45144</v>
      </c>
      <c r="C123" s="6">
        <v>0.16111111111111112</v>
      </c>
      <c r="D123" t="s">
        <v>411</v>
      </c>
      <c r="E123" t="s">
        <v>53</v>
      </c>
      <c r="F123">
        <v>65</v>
      </c>
      <c r="G123" t="s">
        <v>66</v>
      </c>
      <c r="H123" t="s">
        <v>119</v>
      </c>
      <c r="I123" t="s">
        <v>56</v>
      </c>
      <c r="J123">
        <v>10</v>
      </c>
      <c r="K123">
        <v>19</v>
      </c>
      <c r="L123" t="s">
        <v>109</v>
      </c>
      <c r="M123" t="s">
        <v>69</v>
      </c>
    </row>
    <row r="124" spans="1:13" x14ac:dyDescent="0.3">
      <c r="A124" t="s">
        <v>412</v>
      </c>
      <c r="B124" s="5">
        <v>45507</v>
      </c>
      <c r="C124" s="6">
        <v>0.15694444444444444</v>
      </c>
      <c r="D124" t="s">
        <v>413</v>
      </c>
      <c r="E124" t="s">
        <v>61</v>
      </c>
      <c r="F124">
        <v>65</v>
      </c>
      <c r="G124" t="s">
        <v>54</v>
      </c>
      <c r="H124" t="s">
        <v>119</v>
      </c>
      <c r="I124" t="s">
        <v>62</v>
      </c>
      <c r="J124">
        <v>3</v>
      </c>
      <c r="K124">
        <v>40</v>
      </c>
      <c r="L124" t="s">
        <v>109</v>
      </c>
      <c r="M124" t="s">
        <v>58</v>
      </c>
    </row>
    <row r="125" spans="1:13" x14ac:dyDescent="0.3">
      <c r="A125" t="s">
        <v>414</v>
      </c>
      <c r="B125" s="5">
        <v>45159</v>
      </c>
      <c r="C125" s="6">
        <v>0.10277777777777777</v>
      </c>
      <c r="D125" t="s">
        <v>415</v>
      </c>
      <c r="E125" t="s">
        <v>53</v>
      </c>
      <c r="F125">
        <v>69</v>
      </c>
      <c r="G125" t="s">
        <v>54</v>
      </c>
      <c r="H125" t="s">
        <v>119</v>
      </c>
      <c r="I125" t="s">
        <v>62</v>
      </c>
      <c r="J125">
        <v>7</v>
      </c>
      <c r="K125">
        <v>22</v>
      </c>
      <c r="L125" t="s">
        <v>109</v>
      </c>
      <c r="M125" t="s">
        <v>69</v>
      </c>
    </row>
    <row r="126" spans="1:13" x14ac:dyDescent="0.3">
      <c r="A126" t="s">
        <v>416</v>
      </c>
      <c r="B126" s="5">
        <v>45146</v>
      </c>
      <c r="C126" s="6">
        <v>0.94444444444444442</v>
      </c>
      <c r="D126" t="s">
        <v>417</v>
      </c>
      <c r="E126" t="s">
        <v>53</v>
      </c>
      <c r="F126">
        <v>62</v>
      </c>
      <c r="G126" t="s">
        <v>83</v>
      </c>
      <c r="H126" t="s">
        <v>55</v>
      </c>
      <c r="I126" t="s">
        <v>62</v>
      </c>
      <c r="J126">
        <v>1</v>
      </c>
      <c r="K126">
        <v>23</v>
      </c>
      <c r="L126" t="s">
        <v>109</v>
      </c>
      <c r="M126" t="s">
        <v>69</v>
      </c>
    </row>
    <row r="127" spans="1:13" x14ac:dyDescent="0.3">
      <c r="A127" t="s">
        <v>418</v>
      </c>
      <c r="B127" s="5">
        <v>45149</v>
      </c>
      <c r="C127" s="6">
        <v>0.41041666666666665</v>
      </c>
      <c r="D127" t="s">
        <v>419</v>
      </c>
      <c r="E127" t="s">
        <v>53</v>
      </c>
      <c r="F127">
        <v>68</v>
      </c>
      <c r="G127" t="s">
        <v>96</v>
      </c>
      <c r="H127" t="s">
        <v>55</v>
      </c>
      <c r="I127" t="s">
        <v>56</v>
      </c>
      <c r="J127">
        <v>3</v>
      </c>
      <c r="K127">
        <v>34</v>
      </c>
      <c r="L127" t="s">
        <v>109</v>
      </c>
      <c r="M127" t="s">
        <v>58</v>
      </c>
    </row>
    <row r="128" spans="1:13" x14ac:dyDescent="0.3">
      <c r="A128" t="s">
        <v>420</v>
      </c>
      <c r="B128" s="5">
        <v>45150</v>
      </c>
      <c r="C128" s="6">
        <v>0.55902777777777779</v>
      </c>
      <c r="D128" t="s">
        <v>421</v>
      </c>
      <c r="E128" t="s">
        <v>53</v>
      </c>
      <c r="F128">
        <v>65</v>
      </c>
      <c r="G128" t="s">
        <v>96</v>
      </c>
      <c r="H128" t="s">
        <v>55</v>
      </c>
      <c r="I128" t="s">
        <v>56</v>
      </c>
      <c r="J128">
        <v>6</v>
      </c>
      <c r="K128">
        <v>56</v>
      </c>
      <c r="L128" t="s">
        <v>109</v>
      </c>
      <c r="M128" t="s">
        <v>58</v>
      </c>
    </row>
    <row r="129" spans="1:13" x14ac:dyDescent="0.3">
      <c r="A129" t="s">
        <v>422</v>
      </c>
      <c r="B129" s="5">
        <v>45156</v>
      </c>
      <c r="C129" s="6">
        <v>0.40208333333333335</v>
      </c>
      <c r="D129" t="s">
        <v>423</v>
      </c>
      <c r="E129" t="s">
        <v>53</v>
      </c>
      <c r="F129">
        <v>69</v>
      </c>
      <c r="G129" t="s">
        <v>96</v>
      </c>
      <c r="H129" t="s">
        <v>55</v>
      </c>
      <c r="I129" t="s">
        <v>62</v>
      </c>
      <c r="J129">
        <v>4</v>
      </c>
      <c r="K129">
        <v>41</v>
      </c>
      <c r="L129" t="s">
        <v>109</v>
      </c>
      <c r="M129" t="s">
        <v>58</v>
      </c>
    </row>
    <row r="130" spans="1:13" x14ac:dyDescent="0.3">
      <c r="A130" t="s">
        <v>424</v>
      </c>
      <c r="B130" s="5">
        <v>45532</v>
      </c>
      <c r="C130" s="6">
        <v>0.15208333333333332</v>
      </c>
      <c r="D130" t="s">
        <v>425</v>
      </c>
      <c r="E130" t="s">
        <v>53</v>
      </c>
      <c r="F130">
        <v>62</v>
      </c>
      <c r="G130" t="s">
        <v>96</v>
      </c>
      <c r="H130" t="s">
        <v>55</v>
      </c>
      <c r="I130" t="s">
        <v>62</v>
      </c>
      <c r="J130">
        <v>9</v>
      </c>
      <c r="K130">
        <v>57</v>
      </c>
      <c r="L130" t="s">
        <v>109</v>
      </c>
      <c r="M130" t="s">
        <v>58</v>
      </c>
    </row>
    <row r="131" spans="1:13" x14ac:dyDescent="0.3">
      <c r="A131" t="s">
        <v>426</v>
      </c>
      <c r="B131" s="5">
        <v>45162</v>
      </c>
      <c r="C131" s="6">
        <v>0.56874999999999998</v>
      </c>
      <c r="D131" t="s">
        <v>427</v>
      </c>
      <c r="E131" t="s">
        <v>53</v>
      </c>
      <c r="F131">
        <v>68</v>
      </c>
      <c r="G131" t="s">
        <v>114</v>
      </c>
      <c r="H131" t="s">
        <v>55</v>
      </c>
      <c r="I131" t="s">
        <v>56</v>
      </c>
      <c r="J131">
        <v>7</v>
      </c>
      <c r="K131">
        <v>33</v>
      </c>
      <c r="L131" t="s">
        <v>109</v>
      </c>
      <c r="M131" t="s">
        <v>58</v>
      </c>
    </row>
    <row r="132" spans="1:13" x14ac:dyDescent="0.3">
      <c r="A132" t="s">
        <v>428</v>
      </c>
      <c r="B132" s="5">
        <v>45517</v>
      </c>
      <c r="C132" s="6">
        <v>0.96736111111111112</v>
      </c>
      <c r="D132" t="s">
        <v>429</v>
      </c>
      <c r="E132" t="s">
        <v>53</v>
      </c>
      <c r="F132">
        <v>65</v>
      </c>
      <c r="G132" t="s">
        <v>72</v>
      </c>
      <c r="H132" t="s">
        <v>55</v>
      </c>
      <c r="I132" t="s">
        <v>56</v>
      </c>
      <c r="J132">
        <v>10</v>
      </c>
      <c r="K132">
        <v>45</v>
      </c>
      <c r="L132" t="s">
        <v>109</v>
      </c>
      <c r="M132" t="s">
        <v>58</v>
      </c>
    </row>
    <row r="133" spans="1:13" x14ac:dyDescent="0.3">
      <c r="A133" t="s">
        <v>430</v>
      </c>
      <c r="B133" s="5">
        <v>45505</v>
      </c>
      <c r="C133" s="6">
        <v>0.51875000000000004</v>
      </c>
      <c r="D133" t="s">
        <v>431</v>
      </c>
      <c r="E133" t="s">
        <v>53</v>
      </c>
      <c r="F133">
        <v>62</v>
      </c>
      <c r="G133" t="s">
        <v>66</v>
      </c>
      <c r="H133" t="s">
        <v>55</v>
      </c>
      <c r="I133" t="s">
        <v>62</v>
      </c>
      <c r="J133">
        <v>1</v>
      </c>
      <c r="K133">
        <v>35</v>
      </c>
      <c r="L133" t="s">
        <v>109</v>
      </c>
      <c r="M133" t="s">
        <v>58</v>
      </c>
    </row>
    <row r="134" spans="1:13" x14ac:dyDescent="0.3">
      <c r="A134" t="s">
        <v>432</v>
      </c>
      <c r="B134" s="5">
        <v>45524</v>
      </c>
      <c r="C134" s="6">
        <v>0.75069444444444444</v>
      </c>
      <c r="D134" t="s">
        <v>433</v>
      </c>
      <c r="E134" t="s">
        <v>53</v>
      </c>
      <c r="F134">
        <v>70</v>
      </c>
      <c r="G134" t="s">
        <v>66</v>
      </c>
      <c r="H134" t="s">
        <v>55</v>
      </c>
      <c r="I134" t="s">
        <v>62</v>
      </c>
      <c r="J134">
        <v>5</v>
      </c>
      <c r="K134">
        <v>32</v>
      </c>
      <c r="L134" t="s">
        <v>109</v>
      </c>
      <c r="M134" t="s">
        <v>58</v>
      </c>
    </row>
    <row r="135" spans="1:13" x14ac:dyDescent="0.3">
      <c r="A135" t="s">
        <v>434</v>
      </c>
      <c r="B135" s="5">
        <v>45529</v>
      </c>
      <c r="C135" s="6">
        <v>0.3215277777777778</v>
      </c>
      <c r="D135" t="s">
        <v>435</v>
      </c>
      <c r="E135" t="s">
        <v>53</v>
      </c>
      <c r="F135">
        <v>67</v>
      </c>
      <c r="G135" t="s">
        <v>66</v>
      </c>
      <c r="H135" t="s">
        <v>55</v>
      </c>
      <c r="I135" t="s">
        <v>62</v>
      </c>
      <c r="J135">
        <v>10</v>
      </c>
      <c r="K135">
        <v>20</v>
      </c>
      <c r="L135" t="s">
        <v>109</v>
      </c>
      <c r="M135" t="s">
        <v>69</v>
      </c>
    </row>
    <row r="136" spans="1:13" x14ac:dyDescent="0.3">
      <c r="A136" t="s">
        <v>436</v>
      </c>
      <c r="B136" s="5">
        <v>45157</v>
      </c>
      <c r="C136" s="6">
        <v>0.94861111111111107</v>
      </c>
      <c r="D136" t="s">
        <v>437</v>
      </c>
      <c r="E136" t="s">
        <v>61</v>
      </c>
      <c r="F136">
        <v>65</v>
      </c>
      <c r="G136" t="s">
        <v>66</v>
      </c>
      <c r="H136" t="s">
        <v>55</v>
      </c>
      <c r="I136" t="s">
        <v>56</v>
      </c>
      <c r="J136">
        <v>2</v>
      </c>
      <c r="K136">
        <v>28</v>
      </c>
      <c r="L136" t="s">
        <v>109</v>
      </c>
      <c r="M136" t="s">
        <v>69</v>
      </c>
    </row>
    <row r="137" spans="1:13" x14ac:dyDescent="0.3">
      <c r="A137" t="s">
        <v>438</v>
      </c>
      <c r="B137" s="5">
        <v>45161</v>
      </c>
      <c r="C137" s="6">
        <v>0.73750000000000004</v>
      </c>
      <c r="D137" t="s">
        <v>439</v>
      </c>
      <c r="E137" t="s">
        <v>61</v>
      </c>
      <c r="F137">
        <v>70</v>
      </c>
      <c r="G137" t="s">
        <v>66</v>
      </c>
      <c r="H137" t="s">
        <v>55</v>
      </c>
      <c r="I137" t="s">
        <v>56</v>
      </c>
      <c r="J137">
        <v>9</v>
      </c>
      <c r="K137">
        <v>49</v>
      </c>
      <c r="L137" t="s">
        <v>109</v>
      </c>
      <c r="M137" t="s">
        <v>58</v>
      </c>
    </row>
    <row r="138" spans="1:13" x14ac:dyDescent="0.3">
      <c r="A138" t="s">
        <v>440</v>
      </c>
      <c r="B138" s="5">
        <v>45168</v>
      </c>
      <c r="C138" s="6">
        <v>0.9819444444444444</v>
      </c>
      <c r="D138" t="s">
        <v>441</v>
      </c>
      <c r="E138" t="s">
        <v>61</v>
      </c>
      <c r="F138">
        <v>69</v>
      </c>
      <c r="G138" t="s">
        <v>66</v>
      </c>
      <c r="H138" t="s">
        <v>55</v>
      </c>
      <c r="I138" t="s">
        <v>62</v>
      </c>
      <c r="J138">
        <v>4</v>
      </c>
      <c r="K138">
        <v>38</v>
      </c>
      <c r="L138" t="s">
        <v>109</v>
      </c>
      <c r="M138" t="s">
        <v>58</v>
      </c>
    </row>
    <row r="139" spans="1:13" x14ac:dyDescent="0.3">
      <c r="A139" t="s">
        <v>442</v>
      </c>
      <c r="B139" s="5">
        <v>45155</v>
      </c>
      <c r="C139" s="6">
        <v>0.19652777777777777</v>
      </c>
      <c r="D139" t="s">
        <v>443</v>
      </c>
      <c r="E139" t="s">
        <v>53</v>
      </c>
      <c r="F139">
        <v>64</v>
      </c>
      <c r="G139" t="s">
        <v>54</v>
      </c>
      <c r="H139" t="s">
        <v>55</v>
      </c>
      <c r="I139" t="s">
        <v>56</v>
      </c>
      <c r="J139">
        <v>7</v>
      </c>
      <c r="K139">
        <v>39</v>
      </c>
      <c r="L139" t="s">
        <v>109</v>
      </c>
      <c r="M139" t="s">
        <v>58</v>
      </c>
    </row>
    <row r="140" spans="1:13" x14ac:dyDescent="0.3">
      <c r="A140" t="s">
        <v>444</v>
      </c>
      <c r="B140" s="5">
        <v>45165</v>
      </c>
      <c r="C140" s="6">
        <v>6.8750000000000006E-2</v>
      </c>
      <c r="D140" t="s">
        <v>445</v>
      </c>
      <c r="E140" t="s">
        <v>53</v>
      </c>
      <c r="F140">
        <v>67</v>
      </c>
      <c r="G140" t="s">
        <v>54</v>
      </c>
      <c r="H140" t="s">
        <v>55</v>
      </c>
      <c r="I140" t="s">
        <v>56</v>
      </c>
      <c r="J140">
        <v>9</v>
      </c>
      <c r="K140">
        <v>27</v>
      </c>
      <c r="L140" t="s">
        <v>109</v>
      </c>
      <c r="M140" t="s">
        <v>69</v>
      </c>
    </row>
    <row r="141" spans="1:13" x14ac:dyDescent="0.3">
      <c r="A141" t="s">
        <v>446</v>
      </c>
      <c r="B141" s="5">
        <v>45532</v>
      </c>
      <c r="C141" s="6">
        <v>0.86041666666666672</v>
      </c>
      <c r="D141" t="s">
        <v>447</v>
      </c>
      <c r="E141" t="s">
        <v>53</v>
      </c>
      <c r="F141">
        <v>63</v>
      </c>
      <c r="G141" t="s">
        <v>54</v>
      </c>
      <c r="H141" t="s">
        <v>55</v>
      </c>
      <c r="I141" t="s">
        <v>56</v>
      </c>
      <c r="J141">
        <v>0</v>
      </c>
      <c r="K141">
        <v>24</v>
      </c>
      <c r="L141" t="s">
        <v>109</v>
      </c>
      <c r="M141" t="s">
        <v>69</v>
      </c>
    </row>
    <row r="142" spans="1:13" x14ac:dyDescent="0.3">
      <c r="A142" t="s">
        <v>448</v>
      </c>
      <c r="B142" s="5">
        <v>45166</v>
      </c>
      <c r="C142" s="6">
        <v>0.91388888888888886</v>
      </c>
      <c r="D142" t="s">
        <v>449</v>
      </c>
      <c r="E142" t="s">
        <v>53</v>
      </c>
      <c r="F142">
        <v>62</v>
      </c>
      <c r="G142" t="s">
        <v>54</v>
      </c>
      <c r="H142" t="s">
        <v>55</v>
      </c>
      <c r="I142" t="s">
        <v>62</v>
      </c>
      <c r="J142">
        <v>10</v>
      </c>
      <c r="K142">
        <v>56</v>
      </c>
      <c r="L142" t="s">
        <v>109</v>
      </c>
      <c r="M142" t="s">
        <v>58</v>
      </c>
    </row>
    <row r="143" spans="1:13" x14ac:dyDescent="0.3">
      <c r="A143" t="s">
        <v>450</v>
      </c>
      <c r="B143" s="5">
        <v>45153</v>
      </c>
      <c r="C143" s="6">
        <v>0.1451388888888889</v>
      </c>
      <c r="D143" t="s">
        <v>451</v>
      </c>
      <c r="E143" t="s">
        <v>61</v>
      </c>
      <c r="F143">
        <v>63</v>
      </c>
      <c r="G143" t="s">
        <v>54</v>
      </c>
      <c r="H143" t="s">
        <v>55</v>
      </c>
      <c r="I143" t="s">
        <v>62</v>
      </c>
      <c r="J143">
        <v>4</v>
      </c>
      <c r="K143">
        <v>26</v>
      </c>
      <c r="L143" t="s">
        <v>109</v>
      </c>
      <c r="M143"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5F2C-61F9-4CBE-9ABB-A86C0906B69A}">
  <dimension ref="A1:P46"/>
  <sheetViews>
    <sheetView topLeftCell="A6" zoomScale="77" workbookViewId="0">
      <selection activeCell="A17" sqref="A17"/>
    </sheetView>
  </sheetViews>
  <sheetFormatPr defaultRowHeight="14.4" x14ac:dyDescent="0.3"/>
  <cols>
    <col min="1" max="1" width="14.6640625" customWidth="1"/>
    <col min="2" max="2" width="12.88671875" customWidth="1"/>
    <col min="3" max="3" width="9" customWidth="1"/>
    <col min="4" max="4" width="19.77734375" customWidth="1"/>
    <col min="5" max="5" width="31.88671875" customWidth="1"/>
    <col min="6" max="6" width="22" customWidth="1"/>
    <col min="7" max="7" width="31.44140625" customWidth="1"/>
    <col min="8" max="8" width="12.5546875" bestFit="1" customWidth="1"/>
    <col min="9" max="9" width="17" bestFit="1" customWidth="1"/>
    <col min="12" max="12" width="12.5546875" bestFit="1" customWidth="1"/>
    <col min="13" max="13" width="25" bestFit="1" customWidth="1"/>
    <col min="14" max="14" width="21.88671875" bestFit="1" customWidth="1"/>
    <col min="15" max="15" width="12.5546875" bestFit="1" customWidth="1"/>
    <col min="16" max="16" width="42" customWidth="1"/>
  </cols>
  <sheetData>
    <row r="1" spans="1:16" x14ac:dyDescent="0.3">
      <c r="E1" s="18" t="s">
        <v>455</v>
      </c>
      <c r="F1" s="18"/>
      <c r="G1" s="18"/>
    </row>
    <row r="2" spans="1:16" x14ac:dyDescent="0.3">
      <c r="E2" t="s">
        <v>1</v>
      </c>
      <c r="F2" t="s">
        <v>3</v>
      </c>
      <c r="G2" t="s">
        <v>4</v>
      </c>
    </row>
    <row r="3" spans="1:16" x14ac:dyDescent="0.3">
      <c r="E3">
        <v>464</v>
      </c>
      <c r="F3" s="2">
        <v>34.719827586206897</v>
      </c>
      <c r="G3" s="2">
        <v>4.9913043478260866</v>
      </c>
    </row>
    <row r="4" spans="1:16" x14ac:dyDescent="0.3">
      <c r="E4" s="18" t="s">
        <v>456</v>
      </c>
      <c r="F4" s="18"/>
      <c r="H4" s="18" t="s">
        <v>459</v>
      </c>
      <c r="I4" s="18"/>
      <c r="L4" s="18" t="s">
        <v>458</v>
      </c>
      <c r="M4" s="18"/>
      <c r="O4" s="18" t="s">
        <v>457</v>
      </c>
      <c r="P4" s="18"/>
    </row>
    <row r="5" spans="1:16" x14ac:dyDescent="0.3">
      <c r="E5" s="1" t="s">
        <v>5</v>
      </c>
      <c r="F5" t="s">
        <v>170</v>
      </c>
      <c r="H5" s="1" t="s">
        <v>5</v>
      </c>
      <c r="I5" t="s">
        <v>0</v>
      </c>
      <c r="L5" s="1" t="s">
        <v>5</v>
      </c>
      <c r="M5" t="s">
        <v>3</v>
      </c>
      <c r="O5" s="1" t="s">
        <v>5</v>
      </c>
      <c r="P5" t="s">
        <v>4</v>
      </c>
    </row>
    <row r="6" spans="1:16" x14ac:dyDescent="0.3">
      <c r="E6" s="4" t="s">
        <v>78</v>
      </c>
      <c r="F6" s="17">
        <v>61</v>
      </c>
      <c r="H6" s="4" t="s">
        <v>7</v>
      </c>
      <c r="I6">
        <v>15</v>
      </c>
      <c r="L6" s="4" t="s">
        <v>7</v>
      </c>
      <c r="M6" s="2">
        <v>38.200000000000003</v>
      </c>
      <c r="O6" s="4" t="s">
        <v>7</v>
      </c>
      <c r="P6" s="2">
        <v>2</v>
      </c>
    </row>
    <row r="7" spans="1:16" x14ac:dyDescent="0.3">
      <c r="E7" s="4" t="s">
        <v>73</v>
      </c>
      <c r="F7" s="17">
        <v>53</v>
      </c>
      <c r="H7" s="4" t="s">
        <v>8</v>
      </c>
      <c r="I7">
        <v>9</v>
      </c>
      <c r="L7" s="4" t="s">
        <v>8</v>
      </c>
      <c r="M7" s="2">
        <v>32.444444444444443</v>
      </c>
      <c r="O7" s="4" t="s">
        <v>8</v>
      </c>
      <c r="P7" s="2">
        <v>6.5</v>
      </c>
    </row>
    <row r="8" spans="1:16" x14ac:dyDescent="0.3">
      <c r="E8" s="4" t="s">
        <v>57</v>
      </c>
      <c r="F8" s="17">
        <v>71</v>
      </c>
      <c r="H8" s="4" t="s">
        <v>9</v>
      </c>
      <c r="I8">
        <v>16</v>
      </c>
      <c r="L8" s="4" t="s">
        <v>9</v>
      </c>
      <c r="M8" s="2">
        <v>37.875</v>
      </c>
      <c r="O8" s="4" t="s">
        <v>9</v>
      </c>
      <c r="P8" s="2">
        <v>2.5</v>
      </c>
    </row>
    <row r="9" spans="1:16" x14ac:dyDescent="0.3">
      <c r="E9" s="4" t="s">
        <v>63</v>
      </c>
      <c r="F9" s="17">
        <v>59</v>
      </c>
      <c r="H9" s="4" t="s">
        <v>10</v>
      </c>
      <c r="I9">
        <v>16</v>
      </c>
      <c r="L9" s="4" t="s">
        <v>10</v>
      </c>
      <c r="M9" s="2">
        <v>34.125</v>
      </c>
      <c r="O9" s="4" t="s">
        <v>10</v>
      </c>
      <c r="P9" s="2">
        <v>2</v>
      </c>
    </row>
    <row r="10" spans="1:16" x14ac:dyDescent="0.3">
      <c r="B10" s="2"/>
      <c r="E10" s="4" t="s">
        <v>91</v>
      </c>
      <c r="F10" s="17">
        <v>63</v>
      </c>
      <c r="H10" s="4" t="s">
        <v>11</v>
      </c>
      <c r="I10">
        <v>8</v>
      </c>
      <c r="L10" s="4" t="s">
        <v>11</v>
      </c>
      <c r="M10" s="2">
        <v>24.5</v>
      </c>
      <c r="O10" s="4" t="s">
        <v>11</v>
      </c>
      <c r="P10" s="2">
        <v>2</v>
      </c>
    </row>
    <row r="11" spans="1:16" x14ac:dyDescent="0.3">
      <c r="E11" s="4" t="s">
        <v>101</v>
      </c>
      <c r="F11" s="17">
        <v>63</v>
      </c>
      <c r="H11" s="4" t="s">
        <v>12</v>
      </c>
      <c r="I11">
        <v>12</v>
      </c>
      <c r="L11" s="4" t="s">
        <v>12</v>
      </c>
      <c r="M11" s="2">
        <v>34.666666666666664</v>
      </c>
      <c r="O11" s="4" t="s">
        <v>12</v>
      </c>
      <c r="P11" s="2">
        <v>6</v>
      </c>
    </row>
    <row r="12" spans="1:16" x14ac:dyDescent="0.3">
      <c r="E12" s="4" t="s">
        <v>109</v>
      </c>
      <c r="F12" s="17">
        <v>37</v>
      </c>
      <c r="H12" s="4" t="s">
        <v>13</v>
      </c>
      <c r="I12">
        <v>15</v>
      </c>
      <c r="L12" s="4" t="s">
        <v>13</v>
      </c>
      <c r="M12" s="2">
        <v>38.333333333333336</v>
      </c>
      <c r="O12" s="4" t="s">
        <v>13</v>
      </c>
      <c r="P12" s="2">
        <v>4.5714285714285712</v>
      </c>
    </row>
    <row r="13" spans="1:16" x14ac:dyDescent="0.3">
      <c r="E13" s="4" t="s">
        <v>84</v>
      </c>
      <c r="F13" s="17">
        <v>57</v>
      </c>
      <c r="H13" s="4" t="s">
        <v>14</v>
      </c>
      <c r="I13">
        <v>12</v>
      </c>
      <c r="L13" s="4" t="s">
        <v>14</v>
      </c>
      <c r="M13" s="2">
        <v>43.833333333333336</v>
      </c>
      <c r="O13" s="4" t="s">
        <v>14</v>
      </c>
      <c r="P13" s="2">
        <v>4.333333333333333</v>
      </c>
    </row>
    <row r="14" spans="1:16" x14ac:dyDescent="0.3">
      <c r="B14" s="2"/>
      <c r="E14" s="4" t="s">
        <v>6</v>
      </c>
      <c r="F14" s="2">
        <v>464</v>
      </c>
      <c r="H14" s="4" t="s">
        <v>15</v>
      </c>
      <c r="I14">
        <v>16</v>
      </c>
      <c r="L14" s="4" t="s">
        <v>15</v>
      </c>
      <c r="M14" s="2">
        <v>30.9375</v>
      </c>
      <c r="O14" s="4" t="s">
        <v>15</v>
      </c>
      <c r="P14" s="2">
        <v>7</v>
      </c>
    </row>
    <row r="15" spans="1:16" x14ac:dyDescent="0.3">
      <c r="H15" s="4" t="s">
        <v>16</v>
      </c>
      <c r="I15">
        <v>17</v>
      </c>
      <c r="L15" s="4" t="s">
        <v>16</v>
      </c>
      <c r="M15" s="2">
        <v>34.941176470588232</v>
      </c>
      <c r="O15" s="4" t="s">
        <v>16</v>
      </c>
      <c r="P15" s="2">
        <v>7.666666666666667</v>
      </c>
    </row>
    <row r="16" spans="1:16" x14ac:dyDescent="0.3">
      <c r="A16" s="18" t="s">
        <v>463</v>
      </c>
      <c r="B16" s="18"/>
      <c r="C16" s="18"/>
      <c r="H16" s="4" t="s">
        <v>17</v>
      </c>
      <c r="I16">
        <v>17</v>
      </c>
      <c r="L16" s="4" t="s">
        <v>17</v>
      </c>
      <c r="M16" s="2">
        <v>30.294117647058822</v>
      </c>
      <c r="O16" s="4" t="s">
        <v>17</v>
      </c>
      <c r="P16" s="2">
        <v>4.5</v>
      </c>
    </row>
    <row r="17" spans="1:16" x14ac:dyDescent="0.3">
      <c r="A17" s="1" t="s">
        <v>5</v>
      </c>
      <c r="B17" t="s">
        <v>166</v>
      </c>
      <c r="C17" t="s">
        <v>167</v>
      </c>
      <c r="H17" s="4" t="s">
        <v>18</v>
      </c>
      <c r="I17">
        <v>14</v>
      </c>
      <c r="L17" s="4" t="s">
        <v>18</v>
      </c>
      <c r="M17" s="2">
        <v>32.428571428571431</v>
      </c>
      <c r="O17" s="4" t="s">
        <v>18</v>
      </c>
      <c r="P17" s="2">
        <v>4</v>
      </c>
    </row>
    <row r="18" spans="1:16" x14ac:dyDescent="0.3">
      <c r="A18" s="4" t="s">
        <v>56</v>
      </c>
      <c r="B18" s="2">
        <v>236</v>
      </c>
      <c r="C18" s="8">
        <v>0.50862068965517238</v>
      </c>
      <c r="G18" s="8"/>
      <c r="H18" s="4" t="s">
        <v>19</v>
      </c>
      <c r="I18">
        <v>20</v>
      </c>
      <c r="L18" s="4" t="s">
        <v>19</v>
      </c>
      <c r="M18" s="2">
        <v>31.1</v>
      </c>
      <c r="O18" s="4" t="s">
        <v>19</v>
      </c>
      <c r="P18" s="2">
        <v>5.25</v>
      </c>
    </row>
    <row r="19" spans="1:16" x14ac:dyDescent="0.3">
      <c r="A19" s="4" t="s">
        <v>62</v>
      </c>
      <c r="B19" s="2">
        <v>228</v>
      </c>
      <c r="C19" s="8">
        <v>0.49137931034482757</v>
      </c>
      <c r="G19" s="8"/>
      <c r="H19" s="4" t="s">
        <v>20</v>
      </c>
      <c r="I19">
        <v>15</v>
      </c>
      <c r="L19" s="4" t="s">
        <v>20</v>
      </c>
      <c r="M19" s="2">
        <v>34.333333333333336</v>
      </c>
      <c r="O19" s="4" t="s">
        <v>20</v>
      </c>
      <c r="P19" s="2">
        <v>3.5</v>
      </c>
    </row>
    <row r="20" spans="1:16" x14ac:dyDescent="0.3">
      <c r="A20" s="4" t="s">
        <v>6</v>
      </c>
      <c r="B20" s="2">
        <v>464</v>
      </c>
      <c r="C20" s="8">
        <v>1</v>
      </c>
      <c r="G20" s="8"/>
      <c r="H20" s="4" t="s">
        <v>21</v>
      </c>
      <c r="I20">
        <v>15</v>
      </c>
      <c r="L20" s="4" t="s">
        <v>21</v>
      </c>
      <c r="M20" s="2">
        <v>28.6</v>
      </c>
      <c r="O20" s="4" t="s">
        <v>21</v>
      </c>
      <c r="P20" s="2">
        <v>8.3333333333333339</v>
      </c>
    </row>
    <row r="21" spans="1:16" x14ac:dyDescent="0.3">
      <c r="H21" s="4" t="s">
        <v>22</v>
      </c>
      <c r="I21">
        <v>14</v>
      </c>
      <c r="L21" s="4" t="s">
        <v>22</v>
      </c>
      <c r="M21" s="2">
        <v>32</v>
      </c>
      <c r="O21" s="4" t="s">
        <v>22</v>
      </c>
      <c r="P21" s="2">
        <v>4.5</v>
      </c>
    </row>
    <row r="22" spans="1:16" x14ac:dyDescent="0.3">
      <c r="H22" s="4" t="s">
        <v>23</v>
      </c>
      <c r="I22">
        <v>16</v>
      </c>
      <c r="L22" s="4" t="s">
        <v>23</v>
      </c>
      <c r="M22" s="2">
        <v>37.625</v>
      </c>
      <c r="O22" s="4" t="s">
        <v>23</v>
      </c>
      <c r="P22" s="2">
        <v>5</v>
      </c>
    </row>
    <row r="23" spans="1:16" x14ac:dyDescent="0.3">
      <c r="A23" s="13" t="s">
        <v>168</v>
      </c>
      <c r="B23" s="14" t="s">
        <v>2</v>
      </c>
      <c r="C23" s="14" t="s">
        <v>169</v>
      </c>
      <c r="D23" s="14"/>
      <c r="H23" s="4" t="s">
        <v>24</v>
      </c>
      <c r="I23">
        <v>14</v>
      </c>
      <c r="L23" s="4" t="s">
        <v>24</v>
      </c>
      <c r="M23" s="2">
        <v>37.785714285714285</v>
      </c>
      <c r="O23" s="4" t="s">
        <v>24</v>
      </c>
      <c r="P23" s="2">
        <v>1</v>
      </c>
    </row>
    <row r="24" spans="1:16" x14ac:dyDescent="0.3">
      <c r="A24" s="15" t="str">
        <f>A19</f>
        <v>Not Admitted</v>
      </c>
      <c r="B24" s="15">
        <f>B19</f>
        <v>228</v>
      </c>
      <c r="C24" s="16">
        <f>C19</f>
        <v>0.49137931034482757</v>
      </c>
      <c r="D24" s="15"/>
      <c r="G24" s="9"/>
      <c r="H24" s="4" t="s">
        <v>25</v>
      </c>
      <c r="I24">
        <v>16</v>
      </c>
      <c r="L24" s="4" t="s">
        <v>25</v>
      </c>
      <c r="M24" s="2">
        <v>36.375</v>
      </c>
      <c r="O24" s="4" t="s">
        <v>25</v>
      </c>
      <c r="P24" s="2">
        <v>5.6</v>
      </c>
    </row>
    <row r="25" spans="1:16" x14ac:dyDescent="0.3">
      <c r="A25" s="15" t="str">
        <f>A18</f>
        <v>Admitted</v>
      </c>
      <c r="B25" s="15">
        <f>B18</f>
        <v>236</v>
      </c>
      <c r="C25" s="16">
        <f>C18</f>
        <v>0.50862068965517238</v>
      </c>
      <c r="D25" s="16"/>
      <c r="E25" s="10"/>
      <c r="F25" s="9"/>
      <c r="G25" s="9"/>
      <c r="H25" s="4" t="s">
        <v>26</v>
      </c>
      <c r="I25">
        <v>14</v>
      </c>
      <c r="L25" s="4" t="s">
        <v>26</v>
      </c>
      <c r="M25" s="2">
        <v>38.857142857142854</v>
      </c>
      <c r="O25" s="4" t="s">
        <v>26</v>
      </c>
      <c r="P25" s="2">
        <v>3</v>
      </c>
    </row>
    <row r="26" spans="1:16" x14ac:dyDescent="0.3">
      <c r="D26" s="15"/>
      <c r="H26" s="4" t="s">
        <v>27</v>
      </c>
      <c r="I26">
        <v>13</v>
      </c>
      <c r="L26" s="4" t="s">
        <v>27</v>
      </c>
      <c r="M26" s="2">
        <v>37</v>
      </c>
      <c r="O26" s="4" t="s">
        <v>27</v>
      </c>
      <c r="P26" s="2">
        <v>5.666666666666667</v>
      </c>
    </row>
    <row r="27" spans="1:16" x14ac:dyDescent="0.3">
      <c r="H27" s="4" t="s">
        <v>28</v>
      </c>
      <c r="I27">
        <v>19</v>
      </c>
      <c r="L27" s="4" t="s">
        <v>28</v>
      </c>
      <c r="M27" s="2">
        <v>33</v>
      </c>
      <c r="O27" s="4" t="s">
        <v>28</v>
      </c>
      <c r="P27" s="2">
        <v>5.5</v>
      </c>
    </row>
    <row r="28" spans="1:16" x14ac:dyDescent="0.3">
      <c r="A28" s="18" t="s">
        <v>462</v>
      </c>
      <c r="B28" s="18"/>
      <c r="H28" s="4" t="s">
        <v>29</v>
      </c>
      <c r="I28">
        <v>15</v>
      </c>
      <c r="L28" s="4" t="s">
        <v>29</v>
      </c>
      <c r="M28" s="2">
        <v>33.333333333333336</v>
      </c>
      <c r="O28" s="4" t="s">
        <v>29</v>
      </c>
      <c r="P28" s="2">
        <v>5.2</v>
      </c>
    </row>
    <row r="29" spans="1:16" x14ac:dyDescent="0.3">
      <c r="A29" s="1" t="s">
        <v>5</v>
      </c>
      <c r="B29" t="s">
        <v>0</v>
      </c>
      <c r="H29" s="4" t="s">
        <v>30</v>
      </c>
      <c r="I29">
        <v>18</v>
      </c>
      <c r="L29" s="4" t="s">
        <v>30</v>
      </c>
      <c r="M29" s="2">
        <v>36.944444444444443</v>
      </c>
      <c r="O29" s="4" t="s">
        <v>30</v>
      </c>
      <c r="P29" s="2">
        <v>4</v>
      </c>
    </row>
    <row r="30" spans="1:16" x14ac:dyDescent="0.3">
      <c r="A30" s="4" t="s">
        <v>53</v>
      </c>
      <c r="B30" s="17">
        <v>228</v>
      </c>
      <c r="E30" s="18" t="s">
        <v>460</v>
      </c>
      <c r="F30" s="18"/>
      <c r="H30" s="4" t="s">
        <v>31</v>
      </c>
      <c r="I30">
        <v>14</v>
      </c>
      <c r="L30" s="4" t="s">
        <v>31</v>
      </c>
      <c r="M30" s="2">
        <v>34.357142857142854</v>
      </c>
      <c r="O30" s="4" t="s">
        <v>31</v>
      </c>
      <c r="P30" s="2">
        <v>4.75</v>
      </c>
    </row>
    <row r="31" spans="1:16" x14ac:dyDescent="0.3">
      <c r="A31" s="4" t="s">
        <v>61</v>
      </c>
      <c r="B31" s="17">
        <v>236</v>
      </c>
      <c r="E31" s="1" t="s">
        <v>5</v>
      </c>
      <c r="F31" t="s">
        <v>0</v>
      </c>
      <c r="H31" s="4" t="s">
        <v>32</v>
      </c>
      <c r="I31">
        <v>16</v>
      </c>
      <c r="L31" s="4" t="s">
        <v>32</v>
      </c>
      <c r="M31" s="2">
        <v>39</v>
      </c>
      <c r="O31" s="4" t="s">
        <v>32</v>
      </c>
      <c r="P31" s="2">
        <v>4.75</v>
      </c>
    </row>
    <row r="32" spans="1:16" x14ac:dyDescent="0.3">
      <c r="A32" s="4" t="s">
        <v>6</v>
      </c>
      <c r="B32" s="17">
        <v>464</v>
      </c>
      <c r="E32" s="4" t="s">
        <v>58</v>
      </c>
      <c r="F32" s="17">
        <v>267</v>
      </c>
      <c r="H32" s="4" t="s">
        <v>33</v>
      </c>
      <c r="I32">
        <v>13</v>
      </c>
      <c r="L32" s="4" t="s">
        <v>33</v>
      </c>
      <c r="M32" s="2">
        <v>32</v>
      </c>
      <c r="O32" s="4" t="s">
        <v>33</v>
      </c>
      <c r="P32" s="2">
        <v>6.5</v>
      </c>
    </row>
    <row r="33" spans="1:16" x14ac:dyDescent="0.3">
      <c r="E33" s="4" t="s">
        <v>69</v>
      </c>
      <c r="F33" s="17">
        <v>197</v>
      </c>
      <c r="H33" s="4" t="s">
        <v>34</v>
      </c>
      <c r="I33">
        <v>12</v>
      </c>
      <c r="L33" s="4" t="s">
        <v>34</v>
      </c>
      <c r="M33" s="2">
        <v>33.5</v>
      </c>
      <c r="O33" s="4" t="s">
        <v>34</v>
      </c>
      <c r="P33" s="2">
        <v>5</v>
      </c>
    </row>
    <row r="34" spans="1:16" x14ac:dyDescent="0.3">
      <c r="E34" s="4" t="s">
        <v>6</v>
      </c>
      <c r="F34" s="17">
        <v>464</v>
      </c>
      <c r="H34" s="4" t="s">
        <v>35</v>
      </c>
      <c r="I34">
        <v>19</v>
      </c>
      <c r="L34" s="4" t="s">
        <v>35</v>
      </c>
      <c r="M34" s="2">
        <v>37.89473684210526</v>
      </c>
      <c r="O34" s="4" t="s">
        <v>35</v>
      </c>
      <c r="P34" s="2">
        <v>6.333333333333333</v>
      </c>
    </row>
    <row r="35" spans="1:16" x14ac:dyDescent="0.3">
      <c r="H35" s="4" t="s">
        <v>36</v>
      </c>
      <c r="I35">
        <v>19</v>
      </c>
      <c r="L35" s="4" t="s">
        <v>36</v>
      </c>
      <c r="M35" s="2">
        <v>32</v>
      </c>
      <c r="O35" s="4" t="s">
        <v>36</v>
      </c>
      <c r="P35" s="2">
        <v>6</v>
      </c>
    </row>
    <row r="36" spans="1:16" x14ac:dyDescent="0.3">
      <c r="A36" s="18" t="s">
        <v>461</v>
      </c>
      <c r="B36" s="18"/>
      <c r="H36" s="4" t="s">
        <v>37</v>
      </c>
      <c r="I36">
        <v>15</v>
      </c>
      <c r="L36" s="4" t="s">
        <v>37</v>
      </c>
      <c r="M36" s="2">
        <v>35.133333333333333</v>
      </c>
      <c r="O36" s="4" t="s">
        <v>37</v>
      </c>
      <c r="P36" s="2">
        <v>8.1666666666666661</v>
      </c>
    </row>
    <row r="37" spans="1:16" x14ac:dyDescent="0.3">
      <c r="A37" s="1" t="s">
        <v>5</v>
      </c>
      <c r="B37" t="s">
        <v>453</v>
      </c>
      <c r="H37" s="4" t="s">
        <v>6</v>
      </c>
      <c r="I37">
        <v>464</v>
      </c>
      <c r="L37" s="4" t="s">
        <v>6</v>
      </c>
      <c r="M37" s="2">
        <v>34.719827586206897</v>
      </c>
      <c r="O37" s="4" t="s">
        <v>6</v>
      </c>
      <c r="P37" s="2">
        <v>4.9913043478260866</v>
      </c>
    </row>
    <row r="38" spans="1:16" x14ac:dyDescent="0.3">
      <c r="A38" s="4" t="s">
        <v>395</v>
      </c>
      <c r="B38" s="17">
        <v>3</v>
      </c>
    </row>
    <row r="39" spans="1:16" x14ac:dyDescent="0.3">
      <c r="A39" s="4" t="s">
        <v>147</v>
      </c>
      <c r="B39" s="17">
        <v>8</v>
      </c>
    </row>
    <row r="40" spans="1:16" x14ac:dyDescent="0.3">
      <c r="A40" s="4" t="s">
        <v>152</v>
      </c>
      <c r="B40" s="17">
        <v>9</v>
      </c>
      <c r="D40" s="1" t="s">
        <v>5</v>
      </c>
    </row>
    <row r="41" spans="1:16" x14ac:dyDescent="0.3">
      <c r="A41" s="4" t="s">
        <v>141</v>
      </c>
      <c r="B41" s="17">
        <v>11</v>
      </c>
      <c r="D41" s="4" t="s">
        <v>454</v>
      </c>
    </row>
    <row r="42" spans="1:16" x14ac:dyDescent="0.3">
      <c r="A42" s="4" t="s">
        <v>144</v>
      </c>
      <c r="B42" s="17">
        <v>12</v>
      </c>
      <c r="D42" s="4" t="s">
        <v>6</v>
      </c>
    </row>
    <row r="43" spans="1:16" x14ac:dyDescent="0.3">
      <c r="A43" s="4" t="s">
        <v>132</v>
      </c>
      <c r="B43" s="17">
        <v>54</v>
      </c>
    </row>
    <row r="44" spans="1:16" x14ac:dyDescent="0.3">
      <c r="A44" s="4" t="s">
        <v>119</v>
      </c>
      <c r="B44" s="17">
        <v>87</v>
      </c>
    </row>
    <row r="45" spans="1:16" x14ac:dyDescent="0.3">
      <c r="A45" s="4" t="s">
        <v>55</v>
      </c>
      <c r="B45" s="17">
        <v>280</v>
      </c>
    </row>
    <row r="46" spans="1:16" x14ac:dyDescent="0.3">
      <c r="A46" s="4" t="s">
        <v>6</v>
      </c>
      <c r="B46" s="17">
        <v>464</v>
      </c>
    </row>
  </sheetData>
  <mergeCells count="9">
    <mergeCell ref="O4:P4"/>
    <mergeCell ref="L4:M4"/>
    <mergeCell ref="H4:I4"/>
    <mergeCell ref="E30:F30"/>
    <mergeCell ref="A36:B36"/>
    <mergeCell ref="A28:B28"/>
    <mergeCell ref="A16:C16"/>
    <mergeCell ref="E1:G1"/>
    <mergeCell ref="E4:F4"/>
  </mergeCells>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459F-345E-4891-AC84-5643E8B2FB14}">
  <dimension ref="A1"/>
  <sheetViews>
    <sheetView workbookViewId="0">
      <selection activeCell="R16" sqref="R16"/>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851F5-87A5-4F72-987D-E756F14FA52C}">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521D-2BA2-407A-B93E-C7D1700D8649}">
  <dimension ref="A1"/>
  <sheetViews>
    <sheetView showGridLines="0" zoomScale="75" workbookViewId="0">
      <selection activeCell="W16" sqref="W16"/>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9B86-FD62-40D4-B931-D4792464FA06}">
  <dimension ref="A1:N21"/>
  <sheetViews>
    <sheetView showGridLines="0" zoomScale="112" zoomScaleNormal="172" workbookViewId="0">
      <selection activeCell="I24" sqref="I24"/>
    </sheetView>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11"/>
      <c r="H16" s="11"/>
      <c r="I16" s="11"/>
      <c r="J16" s="11"/>
      <c r="K16" s="11"/>
      <c r="L16" s="11"/>
      <c r="M16" s="3"/>
      <c r="N16" s="3"/>
    </row>
    <row r="17" spans="1:14" x14ac:dyDescent="0.3">
      <c r="A17" s="3"/>
      <c r="B17" s="3"/>
      <c r="C17" s="3"/>
      <c r="D17" s="3"/>
      <c r="E17" s="3"/>
      <c r="F17" s="3"/>
      <c r="G17" s="3"/>
      <c r="H17" s="3"/>
      <c r="I17" s="12"/>
      <c r="J17" s="12"/>
      <c r="K17" s="12"/>
      <c r="L17" s="12"/>
      <c r="M17" s="3"/>
      <c r="N17" s="3"/>
    </row>
    <row r="18" spans="1:14" x14ac:dyDescent="0.3">
      <c r="A18" s="3"/>
      <c r="B18" s="3"/>
      <c r="C18" s="3"/>
      <c r="D18" s="3"/>
      <c r="E18" s="3"/>
      <c r="F18" s="3"/>
      <c r="G18" s="3"/>
      <c r="H18" s="3"/>
      <c r="I18" s="12"/>
      <c r="J18" s="12"/>
      <c r="K18" s="12"/>
      <c r="L18" s="12"/>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F8D2BD6-D27C-49D6-9DE0-D29972529A54}">
  <ds:schemaRefs/>
</ds:datastoreItem>
</file>

<file path=customXml/itemProps2.xml><?xml version="1.0" encoding="utf-8"?>
<ds:datastoreItem xmlns:ds="http://schemas.openxmlformats.org/officeDocument/2006/customXml" ds:itemID="{944B4216-F2A8-40AF-9119-6D17EA5B0C65}">
  <ds:schemaRefs/>
</ds:datastoreItem>
</file>

<file path=customXml/itemProps3.xml><?xml version="1.0" encoding="utf-8"?>
<ds:datastoreItem xmlns:ds="http://schemas.openxmlformats.org/officeDocument/2006/customXml" ds:itemID="{CD338ECD-A9FC-40B1-BDDB-D9D00B682703}">
  <ds:schemaRefs/>
</ds:datastoreItem>
</file>

<file path=customXml/itemProps4.xml><?xml version="1.0" encoding="utf-8"?>
<ds:datastoreItem xmlns:ds="http://schemas.openxmlformats.org/officeDocument/2006/customXml" ds:itemID="{686F1B66-9ABB-4024-8EC1-DE2754089584}">
  <ds:schemaRefs>
    <ds:schemaRef ds:uri="http://schemas.microsoft.com/DataMashup"/>
  </ds:schemaRefs>
</ds:datastoreItem>
</file>

<file path=customXml/itemProps5.xml><?xml version="1.0" encoding="utf-8"?>
<ds:datastoreItem xmlns:ds="http://schemas.openxmlformats.org/officeDocument/2006/customXml" ds:itemID="{45B2196B-DF44-47F6-859C-027BE6C01294}">
  <ds:schemaRefs/>
</ds:datastoreItem>
</file>

<file path=customXml/itemProps6.xml><?xml version="1.0" encoding="utf-8"?>
<ds:datastoreItem xmlns:ds="http://schemas.openxmlformats.org/officeDocument/2006/customXml" ds:itemID="{C9EC3266-C3C7-456F-A20C-E3B07A6D0F2F}">
  <ds:schemaRefs/>
</ds:datastoreItem>
</file>

<file path=customXml/itemProps7.xml><?xml version="1.0" encoding="utf-8"?>
<ds:datastoreItem xmlns:ds="http://schemas.openxmlformats.org/officeDocument/2006/customXml" ds:itemID="{0A5D328C-D6CB-4EBC-B58B-E72DE7252241}">
  <ds:schemaRefs/>
</ds:datastoreItem>
</file>

<file path=customXml/itemProps8.xml><?xml version="1.0" encoding="utf-8"?>
<ds:datastoreItem xmlns:ds="http://schemas.openxmlformats.org/officeDocument/2006/customXml" ds:itemID="{BB18CB6C-1BEF-426A-9B99-786AF23FE59B}">
  <ds:schemaRefs/>
</ds:datastoreItem>
</file>

<file path=customXml/itemProps9.xml><?xml version="1.0" encoding="utf-8"?>
<ds:datastoreItem xmlns:ds="http://schemas.openxmlformats.org/officeDocument/2006/customXml" ds:itemID="{05A578CB-8688-48A9-A788-0E3BABDAB97A}">
  <ds:schemaRefs/>
</ds:datastoreItem>
</file>

<file path=customXml/itemProps10.xml><?xml version="1.0" encoding="utf-8"?>
<ds:datastoreItem xmlns:ds="http://schemas.openxmlformats.org/officeDocument/2006/customXml" ds:itemID="{1ABE7DAA-9C97-4E00-BD5E-07B25975630C}">
  <ds:schemaRefs/>
</ds:datastoreItem>
</file>

<file path=customXml/itemProps11.xml><?xml version="1.0" encoding="utf-8"?>
<ds:datastoreItem xmlns:ds="http://schemas.openxmlformats.org/officeDocument/2006/customXml" ds:itemID="{E8302C99-BF7C-4EF9-A15C-842283C1DA27}">
  <ds:schemaRefs/>
</ds:datastoreItem>
</file>

<file path=customXml/itemProps12.xml><?xml version="1.0" encoding="utf-8"?>
<ds:datastoreItem xmlns:ds="http://schemas.openxmlformats.org/officeDocument/2006/customXml" ds:itemID="{4561FF45-9A42-4425-9007-97A5AA4F3C12}">
  <ds:schemaRefs/>
</ds:datastoreItem>
</file>

<file path=customXml/itemProps13.xml><?xml version="1.0" encoding="utf-8"?>
<ds:datastoreItem xmlns:ds="http://schemas.openxmlformats.org/officeDocument/2006/customXml" ds:itemID="{90759607-A5FD-45B7-8DF0-5B4091ADC87D}">
  <ds:schemaRefs/>
</ds:datastoreItem>
</file>

<file path=customXml/itemProps14.xml><?xml version="1.0" encoding="utf-8"?>
<ds:datastoreItem xmlns:ds="http://schemas.openxmlformats.org/officeDocument/2006/customXml" ds:itemID="{1C880FB6-4019-48CE-9C02-13DD6C08C95D}">
  <ds:schemaRefs/>
</ds:datastoreItem>
</file>

<file path=customXml/itemProps15.xml><?xml version="1.0" encoding="utf-8"?>
<ds:datastoreItem xmlns:ds="http://schemas.openxmlformats.org/officeDocument/2006/customXml" ds:itemID="{7626630E-5084-4787-9CD9-5B3F20C61A9E}">
  <ds:schemaRefs/>
</ds:datastoreItem>
</file>

<file path=customXml/itemProps16.xml><?xml version="1.0" encoding="utf-8"?>
<ds:datastoreItem xmlns:ds="http://schemas.openxmlformats.org/officeDocument/2006/customXml" ds:itemID="{4246D805-CC6D-44AD-BCD2-B17CD6DFC1B5}">
  <ds:schemaRefs/>
</ds:datastoreItem>
</file>

<file path=customXml/itemProps17.xml><?xml version="1.0" encoding="utf-8"?>
<ds:datastoreItem xmlns:ds="http://schemas.openxmlformats.org/officeDocument/2006/customXml" ds:itemID="{3953EA4E-F019-4224-9E27-9D3FC60A03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data1</vt:lpstr>
      <vt:lpstr>Data</vt:lpstr>
      <vt:lpstr>Sheet1</vt:lpstr>
      <vt:lpstr>Avg._Waiting_time</vt:lpstr>
      <vt:lpstr>Satisfactory_rate</vt:lpstr>
      <vt:lpstr>Monthly_Patient_visit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shushar u kulal</dc:creator>
  <cp:lastModifiedBy>shushar u kulal</cp:lastModifiedBy>
  <dcterms:created xsi:type="dcterms:W3CDTF">2026-02-13T04:48:51Z</dcterms:created>
  <dcterms:modified xsi:type="dcterms:W3CDTF">2026-02-20T11:44:09Z</dcterms:modified>
</cp:coreProperties>
</file>